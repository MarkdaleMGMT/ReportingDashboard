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umengwang/Desktop/markdale/"/>
    </mc:Choice>
  </mc:AlternateContent>
  <xr:revisionPtr revIDLastSave="0" documentId="13_ncr:1_{7F96C865-090E-7043-80C5-44AAD533C008}" xr6:coauthVersionLast="47" xr6:coauthVersionMax="47" xr10:uidLastSave="{00000000-0000-0000-0000-000000000000}"/>
  <bookViews>
    <workbookView xWindow="6200" yWindow="-18340" windowWidth="27380" windowHeight="16560" tabRatio="803" activeTab="5" xr2:uid="{F535AE37-EC33-45D7-BBA7-9528429B1F65}"/>
  </bookViews>
  <sheets>
    <sheet name="Data Entry" sheetId="1" r:id="rId1"/>
    <sheet name="Canadian Stocks" sheetId="4" r:id="rId2"/>
    <sheet name="US Stocks" sheetId="5" r:id="rId3"/>
    <sheet name="Canadian Stocks Benchmark" sheetId="6" r:id="rId4"/>
    <sheet name="US Stocks Benchmark" sheetId="7" r:id="rId5"/>
    <sheet name="Summary" sheetId="8" r:id="rId6"/>
    <sheet name="Table to Display" sheetId="9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5" i="8" l="1"/>
  <c r="H55" i="8"/>
  <c r="H49" i="8"/>
  <c r="H48" i="8"/>
  <c r="I46" i="8"/>
  <c r="H46" i="8"/>
  <c r="H42" i="8"/>
  <c r="H41" i="8"/>
  <c r="I39" i="8"/>
  <c r="H39" i="8"/>
  <c r="H33" i="8"/>
  <c r="H32" i="8"/>
  <c r="I30" i="8"/>
  <c r="H30" i="8"/>
  <c r="H26" i="8"/>
  <c r="H25" i="8"/>
  <c r="D54" i="8"/>
  <c r="C54" i="8"/>
  <c r="C48" i="8"/>
  <c r="D45" i="8"/>
  <c r="C45" i="8"/>
  <c r="C41" i="8"/>
  <c r="D38" i="8"/>
  <c r="C38" i="8"/>
  <c r="C32" i="8"/>
  <c r="D29" i="8"/>
  <c r="C29" i="8"/>
  <c r="C25" i="8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" i="4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" i="7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K3" i="5"/>
  <c r="K4" i="5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" i="5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" i="5"/>
  <c r="D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G3" i="5"/>
  <c r="G11" i="5"/>
  <c r="G19" i="5"/>
  <c r="G27" i="5"/>
  <c r="G35" i="5"/>
  <c r="G2" i="6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" i="4"/>
  <c r="F2" i="7"/>
  <c r="F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E2" i="7"/>
  <c r="E3" i="7"/>
  <c r="E4" i="7"/>
  <c r="I2" i="7" s="1"/>
  <c r="E5" i="7"/>
  <c r="E6" i="7"/>
  <c r="E7" i="7"/>
  <c r="I3" i="7" s="1"/>
  <c r="E8" i="7"/>
  <c r="E9" i="7"/>
  <c r="E10" i="7"/>
  <c r="I4" i="7" s="1"/>
  <c r="E11" i="7"/>
  <c r="E12" i="7"/>
  <c r="E13" i="7"/>
  <c r="I5" i="7" s="1"/>
  <c r="E14" i="7"/>
  <c r="E15" i="7"/>
  <c r="E16" i="7"/>
  <c r="I6" i="7" s="1"/>
  <c r="E17" i="7"/>
  <c r="E18" i="7"/>
  <c r="E19" i="7"/>
  <c r="I7" i="7" s="1"/>
  <c r="E20" i="7"/>
  <c r="E21" i="7"/>
  <c r="E22" i="7"/>
  <c r="I8" i="7" s="1"/>
  <c r="E23" i="7"/>
  <c r="E24" i="7"/>
  <c r="E25" i="7"/>
  <c r="I9" i="7" s="1"/>
  <c r="E26" i="7"/>
  <c r="E27" i="7"/>
  <c r="E28" i="7"/>
  <c r="I10" i="7" s="1"/>
  <c r="E29" i="7"/>
  <c r="E30" i="7"/>
  <c r="E31" i="7"/>
  <c r="I11" i="7" s="1"/>
  <c r="E32" i="7"/>
  <c r="E33" i="7"/>
  <c r="E34" i="7"/>
  <c r="I12" i="7" s="1"/>
  <c r="E35" i="7"/>
  <c r="E36" i="7"/>
  <c r="E37" i="7"/>
  <c r="I13" i="7" s="1"/>
  <c r="E38" i="7"/>
  <c r="E39" i="7"/>
  <c r="E40" i="7"/>
  <c r="I14" i="7" s="1"/>
  <c r="E41" i="7"/>
  <c r="E42" i="7"/>
  <c r="E43" i="7"/>
  <c r="I15" i="7" s="1"/>
  <c r="E44" i="7"/>
  <c r="E45" i="7"/>
  <c r="E46" i="7"/>
  <c r="I16" i="7" s="1"/>
  <c r="E47" i="7"/>
  <c r="E48" i="7"/>
  <c r="E49" i="7"/>
  <c r="I17" i="7" s="1"/>
  <c r="E50" i="7"/>
  <c r="E51" i="7"/>
  <c r="E52" i="7"/>
  <c r="I18" i="7" s="1"/>
  <c r="E53" i="7"/>
  <c r="E54" i="7"/>
  <c r="E55" i="7"/>
  <c r="I19" i="7" s="1"/>
  <c r="F2" i="5"/>
  <c r="G2" i="5" s="1"/>
  <c r="F3" i="5"/>
  <c r="F4" i="5"/>
  <c r="G4" i="5" s="1"/>
  <c r="F5" i="5"/>
  <c r="G5" i="5" s="1"/>
  <c r="F6" i="5"/>
  <c r="G6" i="5" s="1"/>
  <c r="F8" i="5"/>
  <c r="G8" i="5" s="1"/>
  <c r="F9" i="5"/>
  <c r="G9" i="5" s="1"/>
  <c r="F10" i="5"/>
  <c r="G10" i="5" s="1"/>
  <c r="F11" i="5"/>
  <c r="F12" i="5"/>
  <c r="G12" i="5" s="1"/>
  <c r="F13" i="5"/>
  <c r="G13" i="5" s="1"/>
  <c r="F14" i="5"/>
  <c r="G14" i="5" s="1"/>
  <c r="F15" i="5"/>
  <c r="G15" i="5" s="1"/>
  <c r="F16" i="5"/>
  <c r="G16" i="5" s="1"/>
  <c r="F17" i="5"/>
  <c r="G17" i="5" s="1"/>
  <c r="F18" i="5"/>
  <c r="G18" i="5" s="1"/>
  <c r="F19" i="5"/>
  <c r="F20" i="5"/>
  <c r="G20" i="5" s="1"/>
  <c r="F21" i="5"/>
  <c r="G21" i="5" s="1"/>
  <c r="F22" i="5"/>
  <c r="G22" i="5" s="1"/>
  <c r="F23" i="5"/>
  <c r="G23" i="5" s="1"/>
  <c r="F24" i="5"/>
  <c r="G24" i="5" s="1"/>
  <c r="F25" i="5"/>
  <c r="G25" i="5" s="1"/>
  <c r="F26" i="5"/>
  <c r="G26" i="5" s="1"/>
  <c r="F27" i="5"/>
  <c r="F28" i="5"/>
  <c r="G28" i="5" s="1"/>
  <c r="F29" i="5"/>
  <c r="G29" i="5" s="1"/>
  <c r="F30" i="5"/>
  <c r="G30" i="5" s="1"/>
  <c r="F31" i="5"/>
  <c r="G31" i="5" s="1"/>
  <c r="F32" i="5"/>
  <c r="G32" i="5" s="1"/>
  <c r="F33" i="5"/>
  <c r="G33" i="5" s="1"/>
  <c r="F34" i="5"/>
  <c r="G34" i="5" s="1"/>
  <c r="F35" i="5"/>
  <c r="F37" i="5"/>
  <c r="G37" i="5" s="1"/>
  <c r="F38" i="5"/>
  <c r="G38" i="5" s="1"/>
  <c r="F39" i="5"/>
  <c r="G39" i="5" s="1"/>
  <c r="F40" i="5"/>
  <c r="G40" i="5" s="1"/>
  <c r="F41" i="5"/>
  <c r="G41" i="5" s="1"/>
  <c r="F42" i="5"/>
  <c r="G42" i="5" s="1"/>
  <c r="F43" i="5"/>
  <c r="G43" i="5" s="1"/>
  <c r="F44" i="5"/>
  <c r="G44" i="5" s="1"/>
  <c r="F45" i="5"/>
  <c r="G45" i="5" s="1"/>
  <c r="F46" i="5"/>
  <c r="G46" i="5" s="1"/>
  <c r="F47" i="5"/>
  <c r="G47" i="5" s="1"/>
  <c r="F48" i="5"/>
  <c r="G48" i="5" s="1"/>
  <c r="F49" i="5"/>
  <c r="G49" i="5" s="1"/>
  <c r="F50" i="5"/>
  <c r="G50" i="5" s="1"/>
  <c r="F51" i="5"/>
  <c r="G51" i="5" s="1"/>
  <c r="F52" i="5"/>
  <c r="G52" i="5" s="1"/>
  <c r="F53" i="5"/>
  <c r="G53" i="5" s="1"/>
  <c r="F54" i="5"/>
  <c r="G54" i="5" s="1"/>
  <c r="E2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C55" i="5"/>
  <c r="F55" i="5" s="1"/>
  <c r="G55" i="5" s="1"/>
  <c r="C61" i="4"/>
  <c r="C42" i="4"/>
  <c r="C36" i="5"/>
  <c r="F36" i="5" s="1"/>
  <c r="G36" i="5" s="1"/>
  <c r="C7" i="5"/>
  <c r="F7" i="5" s="1"/>
  <c r="G7" i="5" s="1"/>
</calcChain>
</file>

<file path=xl/sharedStrings.xml><?xml version="1.0" encoding="utf-8"?>
<sst xmlns="http://schemas.openxmlformats.org/spreadsheetml/2006/main" count="57" uniqueCount="30">
  <si>
    <t>Date</t>
  </si>
  <si>
    <t>Value</t>
  </si>
  <si>
    <t>Cashflow</t>
  </si>
  <si>
    <t>USD/CAD</t>
  </si>
  <si>
    <t>USD Value</t>
  </si>
  <si>
    <t>Investment Name</t>
  </si>
  <si>
    <t>Canadian Stocks</t>
  </si>
  <si>
    <t>US Stocks</t>
  </si>
  <si>
    <t>CAD Value</t>
  </si>
  <si>
    <t>CAD Cashflow</t>
  </si>
  <si>
    <t>Actual Cashflow</t>
  </si>
  <si>
    <t>Actual CAD Cashflow</t>
  </si>
  <si>
    <t>time</t>
  </si>
  <si>
    <t>Value of US Stocks (CAD)</t>
  </si>
  <si>
    <t>Actual Cashflow of US Stocks (CAD)</t>
  </si>
  <si>
    <t>Value of Canadian Stocks (CAD)</t>
  </si>
  <si>
    <t>Actual Cashflow of Canadian Stocks (CAD)</t>
  </si>
  <si>
    <t>Value of Canadian Benchamrk (CAD)</t>
  </si>
  <si>
    <t>Actual Cashflow of Canadian Benchmark (CAD)</t>
  </si>
  <si>
    <t>Value of US Benchmark (CAD)</t>
  </si>
  <si>
    <t>Actual Cashflow of US Benchmark (CAD)</t>
  </si>
  <si>
    <t>Investment</t>
  </si>
  <si>
    <t>Q/Q Return %</t>
  </si>
  <si>
    <t>Y/Y Return %</t>
  </si>
  <si>
    <t>Q/Q Return $</t>
  </si>
  <si>
    <t>Y/Y Return $</t>
  </si>
  <si>
    <t>Benchmark Q/Q Return %</t>
  </si>
  <si>
    <t>Benchmark Y/Y Return %</t>
  </si>
  <si>
    <t>Benchmark Q/Q Return $</t>
  </si>
  <si>
    <t>Benchmark Y/Y Return 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</si>
</sst>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&quot;$&quot;#,##0;[Red]\-&quot;$&quot;#,##0"/>
    <numFmt numFmtId="165" formatCode="0.0000"/>
  </numFmts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 (Body)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36">
    <xf numFmtId="0" fontId="0" fillId="0" borderId="0" xfId="0"/>
    <xf numFmtId="14" fontId="0" fillId="0" borderId="0" xfId="0" applyNumberFormat="1" applyAlignment="1">
      <alignment horizontal="left"/>
    </xf>
    <xf numFmtId="164" fontId="0" fillId="0" borderId="0" xfId="0" applyNumberFormat="1"/>
    <xf numFmtId="164" fontId="0" fillId="0" borderId="0" xfId="0" applyNumberFormat="1" applyAlignment="1">
      <alignment horizontal="right"/>
    </xf>
    <xf numFmtId="165" fontId="0" fillId="0" borderId="0" xfId="0" applyNumberFormat="1" applyAlignment="1">
      <alignment horizontal="right"/>
    </xf>
    <xf numFmtId="164" fontId="1" fillId="0" borderId="0" xfId="0" applyNumberFormat="1" applyFont="1" applyAlignment="1">
      <alignment horizontal="right"/>
    </xf>
    <xf numFmtId="14" fontId="1" fillId="0" borderId="0" xfId="0" applyNumberFormat="1" applyFont="1" applyAlignment="1">
      <alignment horizontal="left"/>
    </xf>
    <xf numFmtId="165" fontId="1" fillId="0" borderId="0" xfId="0" applyNumberFormat="1" applyFont="1" applyAlignment="1">
      <alignment horizontal="right"/>
    </xf>
    <xf numFmtId="2" fontId="0" fillId="0" borderId="0" xfId="0" applyNumberFormat="1" applyAlignment="1">
      <alignment horizontal="center"/>
    </xf>
    <xf numFmtId="2" fontId="0" fillId="0" borderId="0" xfId="0" applyNumberFormat="1" applyAlignment="1">
      <alignment horizontal="right"/>
    </xf>
    <xf numFmtId="0" fontId="1" fillId="0" borderId="0" xfId="0" applyFont="1"/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164" fontId="1" fillId="0" borderId="0" xfId="1" applyNumberFormat="1" applyFont="1"/>
    <xf numFmtId="164" fontId="0" fillId="0" borderId="0" xfId="1" applyNumberFormat="1" applyFont="1"/>
    <xf numFmtId="2" fontId="4" fillId="0" borderId="0" xfId="1" applyNumberFormat="1" applyFont="1"/>
    <xf numFmtId="2" fontId="0" fillId="0" borderId="0" xfId="1" applyNumberFormat="1" applyFont="1"/>
    <xf numFmtId="0" fontId="4" fillId="0" borderId="0" xfId="0" applyFont="1"/>
    <xf numFmtId="14" fontId="0" fillId="0" borderId="0" xfId="0" applyNumberFormat="1"/>
    <xf numFmtId="14" fontId="0" fillId="0" borderId="0" xfId="0" applyNumberFormat="1" applyAlignment="1">
      <alignment horizontal="right"/>
    </xf>
    <xf numFmtId="14" fontId="0" fillId="0" borderId="1" xfId="0" applyNumberFormat="1" applyBorder="1" applyAlignment="1">
      <alignment horizontal="right"/>
    </xf>
    <xf numFmtId="0" fontId="5" fillId="0" borderId="0" xfId="0" applyFont="1"/>
    <xf numFmtId="14" fontId="5" fillId="0" borderId="0" xfId="0" applyNumberFormat="1" applyFont="1"/>
    <xf numFmtId="2" fontId="0" fillId="0" borderId="0" xfId="0" applyNumberFormat="1"/>
    <xf numFmtId="9" fontId="0" fillId="0" borderId="0" xfId="0" applyNumberFormat="1"/>
    <xf numFmtId="0" fontId="0" fillId="2" borderId="0" xfId="0" applyFill="1"/>
    <xf numFmtId="0" fontId="0" fillId="3" borderId="0" xfId="0" applyFill="1"/>
    <xf numFmtId="0" fontId="6" fillId="4" borderId="2" xfId="0" applyFont="1" applyFill="1" applyBorder="1"/>
    <xf numFmtId="164" fontId="6" fillId="4" borderId="3" xfId="0" applyNumberFormat="1" applyFont="1" applyFill="1" applyBorder="1" applyAlignment="1">
      <alignment horizontal="right"/>
    </xf>
    <xf numFmtId="164" fontId="6" fillId="4" borderId="4" xfId="0" applyNumberFormat="1" applyFont="1" applyFill="1" applyBorder="1" applyAlignment="1">
      <alignment horizontal="right"/>
    </xf>
    <xf numFmtId="164" fontId="6" fillId="4" borderId="5" xfId="0" applyNumberFormat="1" applyFont="1" applyFill="1" applyBorder="1" applyAlignment="1">
      <alignment horizontal="right"/>
    </xf>
    <xf numFmtId="164" fontId="6" fillId="4" borderId="6" xfId="0" applyNumberFormat="1" applyFont="1" applyFill="1" applyBorder="1" applyAlignment="1">
      <alignment horizontal="right"/>
    </xf>
    <xf numFmtId="10" fontId="0" fillId="0" borderId="0" xfId="0" applyNumberFormat="1"/>
    <xf numFmtId="10" fontId="0" fillId="0" borderId="0" xfId="0" applyNumberFormat="1" applyAlignment="1">
      <alignment horizontal="right"/>
    </xf>
    <xf numFmtId="2" fontId="0" fillId="0" borderId="7" xfId="0" applyNumberFormat="1" applyBorder="1" applyAlignment="1">
      <alignment horizontal="right"/>
    </xf>
    <xf numFmtId="2" fontId="0" fillId="0" borderId="8" xfId="0" applyNumberFormat="1" applyBorder="1" applyAlignment="1">
      <alignment horizontal="right"/>
    </xf>
  </cellXfs>
  <cellStyles count="2">
    <cellStyle name="Currency" xfId="1" builtinId="4"/>
    <cellStyle name="Normal" xfId="0" builtinId="0"/>
  </cellStyles>
  <dxfs count="25"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165" formatCode="0.0000"/>
      <alignment horizontal="right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9" formatCode="yyyy/mm/dd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numFmt numFmtId="0" formatCode="General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9" formatCode="yyyy/mm/dd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numFmt numFmtId="164" formatCode="&quot;$&quot;#,##0;[Red]\-&quot;$&quot;#,##0"/>
      <alignment horizontal="right" vertical="bottom" textRotation="0" wrapText="0" indent="0" justifyLastLine="0" shrinkToFit="0" readingOrder="0"/>
    </dxf>
    <dxf>
      <numFmt numFmtId="164" formatCode="&quot;$&quot;#,##0;[Red]\-&quot;$&quot;#,##0"/>
      <alignment horizontal="right" vertical="bottom" textRotation="0" wrapText="0" indent="0" justifyLastLine="0" shrinkToFit="0" readingOrder="0"/>
    </dxf>
    <dxf>
      <numFmt numFmtId="164" formatCode="&quot;$&quot;#,##0;[Red]\-&quot;$&quot;#,##0"/>
      <alignment horizontal="right" vertical="bottom" textRotation="0" wrapText="0" indent="0" justifyLastLine="0" shrinkToFit="0" readingOrder="0"/>
    </dxf>
    <dxf>
      <numFmt numFmtId="165" formatCode="0.0000"/>
      <alignment horizontal="right" vertical="bottom" textRotation="0" wrapText="0" indent="0" justifyLastLine="0" shrinkToFit="0" readingOrder="0"/>
    </dxf>
    <dxf>
      <numFmt numFmtId="164" formatCode="&quot;$&quot;#,##0;[Red]\-&quot;$&quot;#,##0"/>
      <alignment horizontal="right" vertical="bottom" textRotation="0" wrapText="0" indent="0" justifyLastLine="0" shrinkToFit="0" readingOrder="0"/>
    </dxf>
    <dxf>
      <numFmt numFmtId="164" formatCode="&quot;$&quot;#,##0;[Red]\-&quot;$&quot;#,##0"/>
      <alignment horizontal="right" vertical="bottom" textRotation="0" wrapText="0" indent="0" justifyLastLine="0" shrinkToFit="0" readingOrder="0"/>
    </dxf>
    <dxf>
      <numFmt numFmtId="19" formatCode="yyyy/mm/dd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numFmt numFmtId="164" formatCode="&quot;$&quot;#,##0;[Red]\-&quot;$&quot;#,##0"/>
    </dxf>
    <dxf>
      <numFmt numFmtId="164" formatCode="&quot;$&quot;#,##0;[Red]\-&quot;$&quot;#,##0"/>
    </dxf>
    <dxf>
      <numFmt numFmtId="164" formatCode="&quot;$&quot;#,##0;[Red]\-&quot;$&quot;#,##0"/>
    </dxf>
    <dxf>
      <numFmt numFmtId="19" formatCode="yyyy/mm/dd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numFmt numFmtId="164" formatCode="&quot;$&quot;#,##0;[Red]\-&quot;$&quot;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10856</xdr:rowOff>
    </xdr:from>
    <xdr:to>
      <xdr:col>4</xdr:col>
      <xdr:colOff>21709</xdr:colOff>
      <xdr:row>5</xdr:row>
      <xdr:rowOff>1</xdr:rowOff>
    </xdr:to>
    <xdr:sp macro="[0]!Macro1" textlink="">
      <xdr:nvSpPr>
        <xdr:cNvPr id="2" name="Rounded Rectangle 1">
          <a:extLst>
            <a:ext uri="{FF2B5EF4-FFF2-40B4-BE49-F238E27FC236}">
              <a16:creationId xmlns:a16="http://schemas.microsoft.com/office/drawing/2014/main" id="{A2F43ADA-A7C6-D140-4107-65890C800105}"/>
            </a:ext>
          </a:extLst>
        </xdr:cNvPr>
        <xdr:cNvSpPr/>
      </xdr:nvSpPr>
      <xdr:spPr>
        <a:xfrm>
          <a:off x="6252308" y="1378548"/>
          <a:ext cx="1584786" cy="18453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Save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279400</xdr:colOff>
      <xdr:row>22</xdr:row>
      <xdr:rowOff>177800</xdr:rowOff>
    </xdr:from>
    <xdr:to>
      <xdr:col>0</xdr:col>
      <xdr:colOff>2578100</xdr:colOff>
      <xdr:row>23</xdr:row>
      <xdr:rowOff>127000</xdr:rowOff>
    </xdr:to>
    <xdr:sp macro="[0]!cad_qq" textlink="">
      <xdr:nvSpPr>
        <xdr:cNvPr id="3" name="Rounded Rectangle 2">
          <a:extLst>
            <a:ext uri="{FF2B5EF4-FFF2-40B4-BE49-F238E27FC236}">
              <a16:creationId xmlns:a16="http://schemas.microsoft.com/office/drawing/2014/main" id="{B325263F-8CC6-341C-946E-E0EA808143F1}"/>
            </a:ext>
          </a:extLst>
        </xdr:cNvPr>
        <xdr:cNvSpPr/>
      </xdr:nvSpPr>
      <xdr:spPr>
        <a:xfrm>
          <a:off x="279400" y="4368800"/>
          <a:ext cx="2298700" cy="1397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/>
            <a:t>Canadian</a:t>
          </a:r>
          <a:r>
            <a:rPr lang="en-US" sz="1100" baseline="0"/>
            <a:t> Stocks Q/Q Return &amp; IRR</a:t>
          </a:r>
          <a:endParaRPr lang="en-US" sz="1100"/>
        </a:p>
      </xdr:txBody>
    </xdr:sp>
    <xdr:clientData/>
  </xdr:twoCellAnchor>
  <xdr:twoCellAnchor>
    <xdr:from>
      <xdr:col>0</xdr:col>
      <xdr:colOff>292100</xdr:colOff>
      <xdr:row>30</xdr:row>
      <xdr:rowOff>25400</xdr:rowOff>
    </xdr:from>
    <xdr:to>
      <xdr:col>0</xdr:col>
      <xdr:colOff>2590800</xdr:colOff>
      <xdr:row>30</xdr:row>
      <xdr:rowOff>165100</xdr:rowOff>
    </xdr:to>
    <xdr:sp macro="[0]!cad_yy" textlink="">
      <xdr:nvSpPr>
        <xdr:cNvPr id="4" name="Rounded Rectangle 3">
          <a:extLst>
            <a:ext uri="{FF2B5EF4-FFF2-40B4-BE49-F238E27FC236}">
              <a16:creationId xmlns:a16="http://schemas.microsoft.com/office/drawing/2014/main" id="{66810DC7-3783-B849-ADFF-2222D1F9EF35}"/>
            </a:ext>
          </a:extLst>
        </xdr:cNvPr>
        <xdr:cNvSpPr/>
      </xdr:nvSpPr>
      <xdr:spPr>
        <a:xfrm>
          <a:off x="292100" y="5740400"/>
          <a:ext cx="2298700" cy="1397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/>
            <a:t>Canadian</a:t>
          </a:r>
          <a:r>
            <a:rPr lang="en-US" sz="1100" baseline="0"/>
            <a:t> Stocks Y/Y Return &amp; IRR</a:t>
          </a:r>
          <a:endParaRPr lang="en-US" sz="1100"/>
        </a:p>
      </xdr:txBody>
    </xdr:sp>
    <xdr:clientData/>
  </xdr:twoCellAnchor>
  <xdr:twoCellAnchor>
    <xdr:from>
      <xdr:col>0</xdr:col>
      <xdr:colOff>283882</xdr:colOff>
      <xdr:row>39</xdr:row>
      <xdr:rowOff>29882</xdr:rowOff>
    </xdr:from>
    <xdr:to>
      <xdr:col>0</xdr:col>
      <xdr:colOff>2582582</xdr:colOff>
      <xdr:row>39</xdr:row>
      <xdr:rowOff>173318</xdr:rowOff>
    </xdr:to>
    <xdr:sp macro="[0]!us_qq" textlink="">
      <xdr:nvSpPr>
        <xdr:cNvPr id="5" name="Rounded Rectangle 4">
          <a:extLst>
            <a:ext uri="{FF2B5EF4-FFF2-40B4-BE49-F238E27FC236}">
              <a16:creationId xmlns:a16="http://schemas.microsoft.com/office/drawing/2014/main" id="{C2E74FF4-C21E-D049-87D2-99FE54170FA5}"/>
            </a:ext>
          </a:extLst>
        </xdr:cNvPr>
        <xdr:cNvSpPr/>
      </xdr:nvSpPr>
      <xdr:spPr>
        <a:xfrm>
          <a:off x="283882" y="7605058"/>
          <a:ext cx="2298700" cy="14343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US Stocks Q/Q Return &amp; IRR</a:t>
          </a:r>
          <a:endParaRPr lang="en-US" sz="1100"/>
        </a:p>
      </xdr:txBody>
    </xdr:sp>
    <xdr:clientData/>
  </xdr:twoCellAnchor>
  <xdr:twoCellAnchor>
    <xdr:from>
      <xdr:col>0</xdr:col>
      <xdr:colOff>313764</xdr:colOff>
      <xdr:row>46</xdr:row>
      <xdr:rowOff>14941</xdr:rowOff>
    </xdr:from>
    <xdr:to>
      <xdr:col>0</xdr:col>
      <xdr:colOff>2612464</xdr:colOff>
      <xdr:row>46</xdr:row>
      <xdr:rowOff>158377</xdr:rowOff>
    </xdr:to>
    <xdr:sp macro="[0]!us_yy" textlink="">
      <xdr:nvSpPr>
        <xdr:cNvPr id="6" name="Rounded Rectangle 5">
          <a:extLst>
            <a:ext uri="{FF2B5EF4-FFF2-40B4-BE49-F238E27FC236}">
              <a16:creationId xmlns:a16="http://schemas.microsoft.com/office/drawing/2014/main" id="{564636BC-3EB1-E845-95B2-0C654B757EEF}"/>
            </a:ext>
          </a:extLst>
        </xdr:cNvPr>
        <xdr:cNvSpPr/>
      </xdr:nvSpPr>
      <xdr:spPr>
        <a:xfrm>
          <a:off x="313764" y="8949765"/>
          <a:ext cx="2298700" cy="14343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US Stocks Y/Y Return &amp; IRR</a:t>
          </a:r>
          <a:endParaRPr lang="en-US" sz="1100"/>
        </a:p>
      </xdr:txBody>
    </xdr:sp>
    <xdr:clientData/>
  </xdr:twoCellAnchor>
  <xdr:twoCellAnchor>
    <xdr:from>
      <xdr:col>5</xdr:col>
      <xdr:colOff>22087</xdr:colOff>
      <xdr:row>23</xdr:row>
      <xdr:rowOff>15831</xdr:rowOff>
    </xdr:from>
    <xdr:to>
      <xdr:col>5</xdr:col>
      <xdr:colOff>2509025</xdr:colOff>
      <xdr:row>24</xdr:row>
      <xdr:rowOff>0</xdr:rowOff>
    </xdr:to>
    <xdr:sp macro="[0]!cad_benchmark_qq" textlink="">
      <xdr:nvSpPr>
        <xdr:cNvPr id="2" name="Rounded Rectangle 1">
          <a:extLst>
            <a:ext uri="{FF2B5EF4-FFF2-40B4-BE49-F238E27FC236}">
              <a16:creationId xmlns:a16="http://schemas.microsoft.com/office/drawing/2014/main" id="{FBCE364D-3C6C-9C07-C3D9-1A018FADD424}"/>
            </a:ext>
          </a:extLst>
        </xdr:cNvPr>
        <xdr:cNvSpPr/>
      </xdr:nvSpPr>
      <xdr:spPr>
        <a:xfrm>
          <a:off x="13357087" y="4494698"/>
          <a:ext cx="2486938" cy="178902"/>
        </a:xfrm>
        <a:prstGeom prst="round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Canadian Benchmark Q/Q</a:t>
          </a:r>
          <a:r>
            <a:rPr lang="en-US" sz="1100" baseline="0"/>
            <a:t> Return &amp; IRR</a:t>
          </a:r>
          <a:endParaRPr lang="en-US" sz="1100"/>
        </a:p>
      </xdr:txBody>
    </xdr:sp>
    <xdr:clientData/>
  </xdr:twoCellAnchor>
  <xdr:twoCellAnchor>
    <xdr:from>
      <xdr:col>5</xdr:col>
      <xdr:colOff>0</xdr:colOff>
      <xdr:row>30</xdr:row>
      <xdr:rowOff>1539</xdr:rowOff>
    </xdr:from>
    <xdr:to>
      <xdr:col>5</xdr:col>
      <xdr:colOff>2486938</xdr:colOff>
      <xdr:row>30</xdr:row>
      <xdr:rowOff>186266</xdr:rowOff>
    </xdr:to>
    <xdr:sp macro="[0]!cad_benchmark_yy" textlink="">
      <xdr:nvSpPr>
        <xdr:cNvPr id="10" name="Rounded Rectangle 9">
          <a:extLst>
            <a:ext uri="{FF2B5EF4-FFF2-40B4-BE49-F238E27FC236}">
              <a16:creationId xmlns:a16="http://schemas.microsoft.com/office/drawing/2014/main" id="{7D346A45-8848-A140-AB69-7E7200A458D6}"/>
            </a:ext>
          </a:extLst>
        </xdr:cNvPr>
        <xdr:cNvSpPr/>
      </xdr:nvSpPr>
      <xdr:spPr>
        <a:xfrm>
          <a:off x="13335000" y="5843539"/>
          <a:ext cx="2486938" cy="184727"/>
        </a:xfrm>
        <a:prstGeom prst="round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Canadian Benchmark Y/Y</a:t>
          </a:r>
          <a:r>
            <a:rPr lang="en-US" sz="1100" baseline="0"/>
            <a:t> Return &amp; IRR</a:t>
          </a:r>
          <a:endParaRPr lang="en-US" sz="1100"/>
        </a:p>
      </xdr:txBody>
    </xdr:sp>
    <xdr:clientData/>
  </xdr:twoCellAnchor>
  <xdr:twoCellAnchor>
    <xdr:from>
      <xdr:col>5</xdr:col>
      <xdr:colOff>0</xdr:colOff>
      <xdr:row>39</xdr:row>
      <xdr:rowOff>0</xdr:rowOff>
    </xdr:from>
    <xdr:to>
      <xdr:col>5</xdr:col>
      <xdr:colOff>2486938</xdr:colOff>
      <xdr:row>39</xdr:row>
      <xdr:rowOff>184727</xdr:rowOff>
    </xdr:to>
    <xdr:sp macro="[0]!us_benchmark_qq" textlink="">
      <xdr:nvSpPr>
        <xdr:cNvPr id="7" name="Rounded Rectangle 6">
          <a:extLst>
            <a:ext uri="{FF2B5EF4-FFF2-40B4-BE49-F238E27FC236}">
              <a16:creationId xmlns:a16="http://schemas.microsoft.com/office/drawing/2014/main" id="{38E156A8-249E-EF4E-9306-F261EF45B253}"/>
            </a:ext>
          </a:extLst>
        </xdr:cNvPr>
        <xdr:cNvSpPr/>
      </xdr:nvSpPr>
      <xdr:spPr>
        <a:xfrm>
          <a:off x="13368421" y="7820526"/>
          <a:ext cx="2486938" cy="184727"/>
        </a:xfrm>
        <a:prstGeom prst="round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US Benchmark Q/Q</a:t>
          </a:r>
          <a:r>
            <a:rPr lang="en-US" sz="1100" baseline="0"/>
            <a:t> Return &amp; IRR</a:t>
          </a:r>
          <a:endParaRPr lang="en-US" sz="1100"/>
        </a:p>
      </xdr:txBody>
    </xdr:sp>
    <xdr:clientData/>
  </xdr:twoCellAnchor>
  <xdr:twoCellAnchor>
    <xdr:from>
      <xdr:col>5</xdr:col>
      <xdr:colOff>0</xdr:colOff>
      <xdr:row>46</xdr:row>
      <xdr:rowOff>0</xdr:rowOff>
    </xdr:from>
    <xdr:to>
      <xdr:col>5</xdr:col>
      <xdr:colOff>2486938</xdr:colOff>
      <xdr:row>46</xdr:row>
      <xdr:rowOff>184727</xdr:rowOff>
    </xdr:to>
    <xdr:sp macro="[0]!us_benchmark_yy" textlink="">
      <xdr:nvSpPr>
        <xdr:cNvPr id="8" name="Rounded Rectangle 7">
          <a:extLst>
            <a:ext uri="{FF2B5EF4-FFF2-40B4-BE49-F238E27FC236}">
              <a16:creationId xmlns:a16="http://schemas.microsoft.com/office/drawing/2014/main" id="{198E9D47-070D-C742-ABB0-20FF980E0A04}"/>
            </a:ext>
          </a:extLst>
        </xdr:cNvPr>
        <xdr:cNvSpPr/>
      </xdr:nvSpPr>
      <xdr:spPr>
        <a:xfrm>
          <a:off x="13356897" y="9065172"/>
          <a:ext cx="2486938" cy="184727"/>
        </a:xfrm>
        <a:prstGeom prst="round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US Benchmark Y/Y</a:t>
          </a:r>
          <a:r>
            <a:rPr lang="en-US" sz="1100" baseline="0"/>
            <a:t> Return &amp; IRR</a:t>
          </a:r>
          <a:endParaRPr lang="en-US" sz="1100"/>
        </a:p>
      </xdr:txBody>
    </xdr:sp>
    <xdr:clientData/>
  </xdr:twoCellAnchor>
  <xdr:twoCellAnchor>
    <xdr:from>
      <xdr:col>4</xdr:col>
      <xdr:colOff>66842</xdr:colOff>
      <xdr:row>61</xdr:row>
      <xdr:rowOff>44562</xdr:rowOff>
    </xdr:from>
    <xdr:to>
      <xdr:col>4</xdr:col>
      <xdr:colOff>2272631</xdr:colOff>
      <xdr:row>62</xdr:row>
      <xdr:rowOff>111403</xdr:rowOff>
    </xdr:to>
    <xdr:sp macro="[0]!clear_content" textlink="">
      <xdr:nvSpPr>
        <xdr:cNvPr id="9" name="Rounded Rectangle 8">
          <a:extLst>
            <a:ext uri="{FF2B5EF4-FFF2-40B4-BE49-F238E27FC236}">
              <a16:creationId xmlns:a16="http://schemas.microsoft.com/office/drawing/2014/main" id="{41C23AB8-C89B-FCB0-009A-42687CDD939C}"/>
            </a:ext>
          </a:extLst>
        </xdr:cNvPr>
        <xdr:cNvSpPr/>
      </xdr:nvSpPr>
      <xdr:spPr>
        <a:xfrm>
          <a:off x="10761579" y="12276667"/>
          <a:ext cx="2205789" cy="267368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</xdr:colOff>
      <xdr:row>4</xdr:row>
      <xdr:rowOff>25400</xdr:rowOff>
    </xdr:from>
    <xdr:to>
      <xdr:col>4</xdr:col>
      <xdr:colOff>76200</xdr:colOff>
      <xdr:row>5</xdr:row>
      <xdr:rowOff>38100</xdr:rowOff>
    </xdr:to>
    <xdr:sp macro="[0]!get_irr" textlink="">
      <xdr:nvSpPr>
        <xdr:cNvPr id="2" name="Rounded Rectangle 1">
          <a:extLst>
            <a:ext uri="{FF2B5EF4-FFF2-40B4-BE49-F238E27FC236}">
              <a16:creationId xmlns:a16="http://schemas.microsoft.com/office/drawing/2014/main" id="{145B370D-B831-CE6E-338C-1D2ED72B6D5B}"/>
            </a:ext>
          </a:extLst>
        </xdr:cNvPr>
        <xdr:cNvSpPr/>
      </xdr:nvSpPr>
      <xdr:spPr>
        <a:xfrm>
          <a:off x="5372100" y="1346200"/>
          <a:ext cx="1816100" cy="3429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get irr</a:t>
          </a:r>
        </a:p>
      </xdr:txBody>
    </xdr:sp>
    <xdr:clientData/>
  </xdr:twoCellAnchor>
  <xdr:twoCellAnchor>
    <xdr:from>
      <xdr:col>3</xdr:col>
      <xdr:colOff>0</xdr:colOff>
      <xdr:row>15</xdr:row>
      <xdr:rowOff>0</xdr:rowOff>
    </xdr:from>
    <xdr:to>
      <xdr:col>4</xdr:col>
      <xdr:colOff>38100</xdr:colOff>
      <xdr:row>16</xdr:row>
      <xdr:rowOff>12700</xdr:rowOff>
    </xdr:to>
    <xdr:sp macro="[0]!get_return" textlink="">
      <xdr:nvSpPr>
        <xdr:cNvPr id="3" name="Rounded Rectangle 2">
          <a:extLst>
            <a:ext uri="{FF2B5EF4-FFF2-40B4-BE49-F238E27FC236}">
              <a16:creationId xmlns:a16="http://schemas.microsoft.com/office/drawing/2014/main" id="{268D8561-77CD-DD41-B402-DD66A8DE3924}"/>
            </a:ext>
          </a:extLst>
        </xdr:cNvPr>
        <xdr:cNvSpPr/>
      </xdr:nvSpPr>
      <xdr:spPr>
        <a:xfrm>
          <a:off x="5334000" y="4953000"/>
          <a:ext cx="1816100" cy="3429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get return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193A8BC-45B5-F743-B804-87BEAD0F2274}" name="Table5" displayName="Table5" ref="A1:D3" totalsRowShown="0">
  <autoFilter ref="A1:D3" xr:uid="{2193A8BC-45B5-F743-B804-87BEAD0F2274}"/>
  <tableColumns count="4">
    <tableColumn id="1" xr3:uid="{8C09300E-F5E8-5744-BC0C-55F358E1950C}" name="Investment Name"/>
    <tableColumn id="2" xr3:uid="{428F1A53-BA1B-C149-B748-DCD8F6AD9042}" name="Date"/>
    <tableColumn id="3" xr3:uid="{0D5C731D-CEFA-DE4B-8002-66803794A90A}" name="Value"/>
    <tableColumn id="4" xr3:uid="{795BBD20-1F6D-A64B-BB0D-191BF068C265}" name="Cashflow" dataDxfId="24">
      <calculatedColumnFormula>685000-641753.01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9C0BBF4-EA74-42F9-ACE5-B7F786B19974}" name="Table1" displayName="Table1" ref="A1:D61" totalsRowShown="0" headerRowDxfId="23">
  <autoFilter ref="A1:D61" xr:uid="{CBE3E248-0DE7-44AB-BA2B-873D86A2D929}"/>
  <sortState xmlns:xlrd2="http://schemas.microsoft.com/office/spreadsheetml/2017/richdata2" ref="A2:D61">
    <sortCondition ref="A1:A61"/>
  </sortState>
  <tableColumns count="4">
    <tableColumn id="1" xr3:uid="{5AF4D3ED-88C5-4A4B-8462-F2AB56CA6DC4}" name="Date" dataDxfId="22"/>
    <tableColumn id="2" xr3:uid="{505A5E6F-BA0E-4D78-B709-FE520659A79A}" name="Value" dataDxfId="21"/>
    <tableColumn id="3" xr3:uid="{32ED5E0A-B054-4481-BC93-CC5192EB0651}" name="Cashflow" dataDxfId="20"/>
    <tableColumn id="4" xr3:uid="{D66B5471-5771-F541-8668-F2B120A20945}" name="Actual Cashflow" dataDxfId="19" dataCellStyle="Currency">
      <calculatedColumnFormula>-(Table1[[#This Row],[Cashflow]])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FE38255-7D0A-4B95-851A-42DF49D1FEBD}" name="Table14" displayName="Table14" ref="A1:G59" totalsRowShown="0" headerRowDxfId="18">
  <autoFilter ref="A1:G59" xr:uid="{2B6BE2A9-F844-4900-B44F-4BA16598A1F9}"/>
  <sortState xmlns:xlrd2="http://schemas.microsoft.com/office/spreadsheetml/2017/richdata2" ref="A2:G59">
    <sortCondition ref="A1:A59"/>
  </sortState>
  <tableColumns count="7">
    <tableColumn id="1" xr3:uid="{CC27DC7A-24BF-4936-AF1A-E3C8F93D77C2}" name="Date" dataDxfId="17"/>
    <tableColumn id="2" xr3:uid="{E99637A1-2543-4C36-82FE-6FB962EE0AF9}" name="USD Value" dataDxfId="16"/>
    <tableColumn id="3" xr3:uid="{3EA285E9-E6B2-4238-B5C5-5D91242517F9}" name="Cashflow" dataDxfId="15"/>
    <tableColumn id="4" xr3:uid="{11D1AF7B-3C54-44BE-8954-364024B46359}" name="USD/CAD" dataDxfId="14"/>
    <tableColumn id="5" xr3:uid="{55AA2513-E97D-4940-9F3F-E343BC335DD4}" name="CAD Value" dataDxfId="13">
      <calculatedColumnFormula>Table14[[#This Row],[USD Value]]*Table14[[#This Row],[USD/CAD]]</calculatedColumnFormula>
    </tableColumn>
    <tableColumn id="6" xr3:uid="{0A9FACC7-0A15-C443-8E6D-E01E1E43358D}" name="CAD Cashflow" dataDxfId="12">
      <calculatedColumnFormula>Table14[[#This Row],[Cashflow]]*Table14[[#This Row],[USD/CAD]]</calculatedColumnFormula>
    </tableColumn>
    <tableColumn id="9" xr3:uid="{5C434C16-B491-5F49-A67F-AA83288DD25E}" name="Actual CAD Cashflow" dataDxfId="11">
      <calculatedColumnFormula>-(Table14[[#This Row],[CAD Cashflow]])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A93DFCD-8FB0-4CEF-B103-088E93BF5247}" name="Table143" displayName="Table143" ref="A1:C61" totalsRowShown="0" headerRowDxfId="10">
  <autoFilter ref="A1:C61" xr:uid="{E1F2023D-42B3-4396-940D-008D985975AF}"/>
  <sortState xmlns:xlrd2="http://schemas.microsoft.com/office/spreadsheetml/2017/richdata2" ref="A2:C61">
    <sortCondition ref="A1:A61"/>
  </sortState>
  <tableColumns count="3">
    <tableColumn id="1" xr3:uid="{9C69B0E4-DC19-4271-AFF9-B8185E125AD9}" name="Date" dataDxfId="9"/>
    <tableColumn id="2" xr3:uid="{805B59F4-7C8C-4713-8D0B-DEF67C706167}" name="Value" dataDxfId="8"/>
    <tableColumn id="3" xr3:uid="{1CB06E98-460B-4E3D-8A01-B4E3212A567A}" name="Cashflow" dataDxfId="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CD85F2B-1FEE-48CB-8DC3-ABEA363C2F88}" name="Table145" displayName="Table145" ref="A1:F61" totalsRowShown="0" headerRowDxfId="6">
  <autoFilter ref="A1:F61" xr:uid="{95A04358-AC6B-473F-9B70-2F0DCC2C22AE}"/>
  <sortState xmlns:xlrd2="http://schemas.microsoft.com/office/spreadsheetml/2017/richdata2" ref="A2:F61">
    <sortCondition ref="A1:A61"/>
  </sortState>
  <tableColumns count="6">
    <tableColumn id="1" xr3:uid="{A9762E09-2A37-40B2-A0A9-4D96F828FCB1}" name="Date" dataDxfId="5"/>
    <tableColumn id="2" xr3:uid="{3C8CA186-899F-4AC4-ADBD-39D6C130A301}" name="USD Value" dataDxfId="4"/>
    <tableColumn id="3" xr3:uid="{8B28BFBC-4891-442E-88E1-78229B5701F6}" name="Cashflow" dataDxfId="3"/>
    <tableColumn id="4" xr3:uid="{BD3ABB33-8693-4583-B0BE-94F1B9A3C0F4}" name="USD/CAD" dataDxfId="2"/>
    <tableColumn id="5" xr3:uid="{239F956F-4C4B-C445-91E5-6EE93C1D4CDC}" name="CAD Value" dataDxfId="1">
      <calculatedColumnFormula>Table145[[#This Row],[USD Value]]*Table145[[#This Row],[USD/CAD]]</calculatedColumnFormula>
    </tableColumn>
    <tableColumn id="6" xr3:uid="{0B52EDE9-D3C4-CA46-9F91-6C3BD1839C12}" name="CAD Cashflow" dataDxfId="0">
      <calculatedColumnFormula>Table145[[#This Row],[Cashflow]]*Table145[[#This Row],[USD/CAD]]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E1F9C-70BC-4C6E-9018-EF6E01152F35}">
  <sheetPr codeName="Sheet1"/>
  <dimension ref="A1:D3"/>
  <sheetViews>
    <sheetView workbookViewId="0">
      <selection activeCell="D9" sqref="D9"/>
    </sheetView>
  </sheetViews>
  <sheetFormatPr baseColWidth="10" defaultColWidth="20.5" defaultRowHeight="15" x14ac:dyDescent="0.2"/>
  <sheetData>
    <row r="1" spans="1:4" x14ac:dyDescent="0.2">
      <c r="A1" t="s">
        <v>5</v>
      </c>
      <c r="B1" t="s">
        <v>0</v>
      </c>
      <c r="C1" t="s">
        <v>1</v>
      </c>
      <c r="D1" t="s">
        <v>2</v>
      </c>
    </row>
    <row r="2" spans="1:4" x14ac:dyDescent="0.2">
      <c r="A2" t="s">
        <v>6</v>
      </c>
      <c r="B2" s="1"/>
      <c r="C2" s="2"/>
      <c r="D2" s="2"/>
    </row>
    <row r="3" spans="1:4" x14ac:dyDescent="0.2">
      <c r="A3" t="s">
        <v>7</v>
      </c>
      <c r="B3" s="1"/>
      <c r="C3" s="3"/>
      <c r="D3" s="3"/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43611-F62C-4040-87A9-7C3863C9641C}">
  <sheetPr codeName="Sheet2"/>
  <dimension ref="A1:L61"/>
  <sheetViews>
    <sheetView topLeftCell="A33" workbookViewId="0">
      <selection activeCell="H2" sqref="H2:I21"/>
    </sheetView>
  </sheetViews>
  <sheetFormatPr baseColWidth="10" defaultColWidth="14.6640625" defaultRowHeight="15" x14ac:dyDescent="0.2"/>
  <cols>
    <col min="1" max="1" width="14.6640625" style="1"/>
    <col min="2" max="3" width="14.6640625" style="2"/>
    <col min="4" max="4" width="14.6640625" style="14"/>
    <col min="6" max="6" width="14.6640625" style="16"/>
    <col min="7" max="7" width="14.6640625" style="18"/>
    <col min="8" max="8" width="25" customWidth="1"/>
    <col min="9" max="9" width="22.6640625" customWidth="1"/>
  </cols>
  <sheetData>
    <row r="1" spans="1:12" s="10" customFormat="1" x14ac:dyDescent="0.2">
      <c r="A1" s="6" t="s">
        <v>0</v>
      </c>
      <c r="B1" s="5" t="s">
        <v>1</v>
      </c>
      <c r="C1" s="5" t="s">
        <v>2</v>
      </c>
      <c r="D1" s="13" t="s">
        <v>10</v>
      </c>
      <c r="F1" s="15"/>
      <c r="G1" s="18" t="s">
        <v>0</v>
      </c>
      <c r="H1" s="17" t="s">
        <v>15</v>
      </c>
      <c r="I1" s="17" t="s">
        <v>16</v>
      </c>
      <c r="K1"/>
      <c r="L1"/>
    </row>
    <row r="2" spans="1:12" x14ac:dyDescent="0.2">
      <c r="A2" s="1">
        <v>43131</v>
      </c>
      <c r="B2" s="2">
        <v>10849784.74</v>
      </c>
      <c r="C2" s="2">
        <v>-11692.38</v>
      </c>
      <c r="D2" s="14">
        <f>-(Table1[[#This Row],[Cashflow]])</f>
        <v>11692.38</v>
      </c>
      <c r="G2" s="19">
        <v>43189</v>
      </c>
      <c r="H2">
        <f ca="1">SUM(OFFSET($B$4,(ROW()-ROW($H$2))*3,0,1,1))</f>
        <v>10275003.810000001</v>
      </c>
      <c r="I2">
        <f ca="1">SUM(OFFSET($D$2,(ROW()-ROW($I$2))*3,0,3,1))</f>
        <v>82155.02</v>
      </c>
      <c r="K2" s="20"/>
    </row>
    <row r="3" spans="1:12" x14ac:dyDescent="0.2">
      <c r="A3" s="1">
        <v>43159</v>
      </c>
      <c r="B3" s="2">
        <v>10287646.810000001</v>
      </c>
      <c r="C3" s="2">
        <v>-24322.38</v>
      </c>
      <c r="D3" s="14">
        <f>-(Table1[[#This Row],[Cashflow]])</f>
        <v>24322.38</v>
      </c>
      <c r="G3" s="20">
        <v>43281</v>
      </c>
      <c r="H3">
        <f t="shared" ref="H3:H21" ca="1" si="0">SUM(OFFSET($B$4,(ROW()-ROW($H$2))*3,0,1,1))</f>
        <v>11310824.25</v>
      </c>
      <c r="I3">
        <f t="shared" ref="I3:I21" ca="1" si="1">SUM(OFFSET($D$2,(ROW()-ROW($I$2))*3,0,3,1))</f>
        <v>98024.73000000001</v>
      </c>
      <c r="K3" s="20"/>
    </row>
    <row r="4" spans="1:12" x14ac:dyDescent="0.2">
      <c r="A4" s="1">
        <v>43189</v>
      </c>
      <c r="B4" s="2">
        <v>10275003.810000001</v>
      </c>
      <c r="C4" s="2">
        <v>-46140.26</v>
      </c>
      <c r="D4" s="14">
        <f>-(Table1[[#This Row],[Cashflow]])</f>
        <v>46140.26</v>
      </c>
      <c r="G4" s="20">
        <v>43373</v>
      </c>
      <c r="H4">
        <f t="shared" ca="1" si="0"/>
        <v>11021497.470000001</v>
      </c>
      <c r="I4">
        <f t="shared" ca="1" si="1"/>
        <v>99091.37</v>
      </c>
      <c r="K4" s="20"/>
    </row>
    <row r="5" spans="1:12" x14ac:dyDescent="0.2">
      <c r="A5" s="1">
        <v>43220</v>
      </c>
      <c r="B5" s="2">
        <v>10536100.390000001</v>
      </c>
      <c r="C5" s="2">
        <v>-25996.38</v>
      </c>
      <c r="D5" s="14">
        <f>-(Table1[[#This Row],[Cashflow]])</f>
        <v>25996.38</v>
      </c>
      <c r="G5" s="20">
        <v>43464</v>
      </c>
      <c r="H5">
        <f t="shared" ca="1" si="0"/>
        <v>9938734.3699999992</v>
      </c>
      <c r="I5">
        <f t="shared" ca="1" si="1"/>
        <v>203302.63</v>
      </c>
      <c r="K5" s="19"/>
    </row>
    <row r="6" spans="1:12" x14ac:dyDescent="0.2">
      <c r="A6" s="1">
        <v>43250</v>
      </c>
      <c r="B6" s="2">
        <v>10851665.119999999</v>
      </c>
      <c r="C6" s="2">
        <v>-25612.38</v>
      </c>
      <c r="D6" s="14">
        <f>-(Table1[[#This Row],[Cashflow]])</f>
        <v>25612.38</v>
      </c>
      <c r="G6" s="19">
        <v>43554</v>
      </c>
      <c r="H6">
        <f t="shared" ca="1" si="0"/>
        <v>11123149.130000001</v>
      </c>
      <c r="I6">
        <f t="shared" ca="1" si="1"/>
        <v>89247.92</v>
      </c>
    </row>
    <row r="7" spans="1:12" x14ac:dyDescent="0.2">
      <c r="A7" s="1">
        <v>43281</v>
      </c>
      <c r="B7" s="2">
        <v>11310824.25</v>
      </c>
      <c r="C7" s="2">
        <v>-46415.97</v>
      </c>
      <c r="D7" s="14">
        <f>-(Table1[[#This Row],[Cashflow]])</f>
        <v>46415.97</v>
      </c>
      <c r="G7" s="20">
        <v>43646</v>
      </c>
      <c r="H7">
        <f t="shared" ca="1" si="0"/>
        <v>11146899.630000001</v>
      </c>
      <c r="I7">
        <f t="shared" ca="1" si="1"/>
        <v>107600.31</v>
      </c>
    </row>
    <row r="8" spans="1:12" x14ac:dyDescent="0.2">
      <c r="A8" s="1">
        <v>43311</v>
      </c>
      <c r="B8" s="2">
        <v>11438205.77</v>
      </c>
      <c r="C8" s="2">
        <v>-26904.79</v>
      </c>
      <c r="D8" s="14">
        <f>-(Table1[[#This Row],[Cashflow]])</f>
        <v>26904.79</v>
      </c>
      <c r="G8" s="20">
        <v>43738</v>
      </c>
      <c r="H8">
        <f t="shared" ca="1" si="0"/>
        <v>11249173.25</v>
      </c>
      <c r="I8">
        <f t="shared" ca="1" si="1"/>
        <v>125012.98999999999</v>
      </c>
    </row>
    <row r="9" spans="1:12" x14ac:dyDescent="0.2">
      <c r="A9" s="1">
        <v>43342</v>
      </c>
      <c r="B9" s="2">
        <v>11276744.619999999</v>
      </c>
      <c r="C9" s="2">
        <v>-25805.29</v>
      </c>
      <c r="D9" s="14">
        <f>-(Table1[[#This Row],[Cashflow]])</f>
        <v>25805.29</v>
      </c>
      <c r="G9" s="20">
        <v>43829</v>
      </c>
      <c r="H9">
        <f t="shared" ca="1" si="0"/>
        <v>11498725.48</v>
      </c>
      <c r="I9">
        <f t="shared" ca="1" si="1"/>
        <v>109038.87</v>
      </c>
    </row>
    <row r="10" spans="1:12" x14ac:dyDescent="0.2">
      <c r="A10" s="1">
        <v>43373</v>
      </c>
      <c r="B10" s="2">
        <v>11021497.470000001</v>
      </c>
      <c r="C10" s="2">
        <v>-46381.29</v>
      </c>
      <c r="D10" s="14">
        <f>-(Table1[[#This Row],[Cashflow]])</f>
        <v>46381.29</v>
      </c>
      <c r="G10" s="19">
        <v>43920</v>
      </c>
      <c r="H10">
        <f t="shared" ca="1" si="0"/>
        <v>7737016.0800000001</v>
      </c>
      <c r="I10">
        <f t="shared" ca="1" si="1"/>
        <v>1066100.1099999999</v>
      </c>
    </row>
    <row r="11" spans="1:12" x14ac:dyDescent="0.2">
      <c r="A11" s="1">
        <v>43403</v>
      </c>
      <c r="B11" s="2">
        <v>10490587.08</v>
      </c>
      <c r="C11" s="2">
        <v>-26904.79</v>
      </c>
      <c r="D11" s="14">
        <f>-(Table1[[#This Row],[Cashflow]])</f>
        <v>26904.79</v>
      </c>
      <c r="G11" s="20">
        <v>44012</v>
      </c>
      <c r="H11">
        <f t="shared" ca="1" si="0"/>
        <v>8103584.5</v>
      </c>
      <c r="I11">
        <f t="shared" ca="1" si="1"/>
        <v>107390.11</v>
      </c>
    </row>
    <row r="12" spans="1:12" x14ac:dyDescent="0.2">
      <c r="A12" s="1">
        <v>43434</v>
      </c>
      <c r="B12" s="2">
        <v>10705619.939999999</v>
      </c>
      <c r="C12" s="2">
        <v>-26405.29</v>
      </c>
      <c r="D12" s="14">
        <f>-(Table1[[#This Row],[Cashflow]])</f>
        <v>26405.29</v>
      </c>
      <c r="G12" s="20">
        <v>44104</v>
      </c>
      <c r="H12">
        <f t="shared" ca="1" si="0"/>
        <v>7740937.9800000004</v>
      </c>
      <c r="I12">
        <f t="shared" ca="1" si="1"/>
        <v>107162.42</v>
      </c>
    </row>
    <row r="13" spans="1:12" x14ac:dyDescent="0.2">
      <c r="A13" s="1">
        <v>43464</v>
      </c>
      <c r="B13" s="2">
        <v>9938734.3699999992</v>
      </c>
      <c r="C13" s="2">
        <v>-149992.54999999999</v>
      </c>
      <c r="D13" s="14">
        <f>-(Table1[[#This Row],[Cashflow]])</f>
        <v>149992.54999999999</v>
      </c>
      <c r="G13" s="20">
        <v>44195</v>
      </c>
      <c r="H13">
        <f t="shared" ca="1" si="0"/>
        <v>8678665.9800000004</v>
      </c>
      <c r="I13">
        <f t="shared" ca="1" si="1"/>
        <v>106950.25</v>
      </c>
    </row>
    <row r="14" spans="1:12" x14ac:dyDescent="0.2">
      <c r="A14" s="1">
        <v>43495</v>
      </c>
      <c r="B14" s="2">
        <v>10802928.93</v>
      </c>
      <c r="C14" s="2">
        <v>-12864.79</v>
      </c>
      <c r="D14" s="14">
        <f>-(Table1[[#This Row],[Cashflow]])</f>
        <v>12864.79</v>
      </c>
      <c r="G14" s="19">
        <v>44285</v>
      </c>
      <c r="H14">
        <f t="shared" ca="1" si="0"/>
        <v>9893742.5600000005</v>
      </c>
      <c r="I14">
        <f t="shared" ca="1" si="1"/>
        <v>108322.84</v>
      </c>
    </row>
    <row r="15" spans="1:12" x14ac:dyDescent="0.2">
      <c r="A15" s="1">
        <v>43524</v>
      </c>
      <c r="B15" s="2">
        <v>11083265.91</v>
      </c>
      <c r="C15" s="2">
        <v>-26405.29</v>
      </c>
      <c r="D15" s="14">
        <f>-(Table1[[#This Row],[Cashflow]])</f>
        <v>26405.29</v>
      </c>
      <c r="G15" s="20">
        <v>44377</v>
      </c>
      <c r="H15">
        <f t="shared" ca="1" si="0"/>
        <v>10784034.470000001</v>
      </c>
      <c r="I15">
        <f t="shared" ca="1" si="1"/>
        <v>108157.37999999999</v>
      </c>
    </row>
    <row r="16" spans="1:12" x14ac:dyDescent="0.2">
      <c r="A16" s="1">
        <v>43554</v>
      </c>
      <c r="B16" s="2">
        <v>11123149.130000001</v>
      </c>
      <c r="C16" s="2">
        <v>-49977.84</v>
      </c>
      <c r="D16" s="14">
        <f>-(Table1[[#This Row],[Cashflow]])</f>
        <v>49977.84</v>
      </c>
      <c r="G16" s="20">
        <v>44469</v>
      </c>
      <c r="H16">
        <f t="shared" ca="1" si="0"/>
        <v>10976472.689999999</v>
      </c>
      <c r="I16">
        <f t="shared" ca="1" si="1"/>
        <v>109650.45999999999</v>
      </c>
    </row>
    <row r="17" spans="1:9" x14ac:dyDescent="0.2">
      <c r="A17" s="1">
        <v>43585</v>
      </c>
      <c r="B17" s="2">
        <v>11489080.619999999</v>
      </c>
      <c r="C17" s="2">
        <v>-29532.79</v>
      </c>
      <c r="D17" s="14">
        <f>-(Table1[[#This Row],[Cashflow]])</f>
        <v>29532.79</v>
      </c>
      <c r="G17" s="20">
        <v>44560</v>
      </c>
      <c r="H17">
        <f t="shared" ca="1" si="0"/>
        <v>10570692.17</v>
      </c>
      <c r="I17">
        <f t="shared" ca="1" si="1"/>
        <v>119309.22</v>
      </c>
    </row>
    <row r="18" spans="1:9" x14ac:dyDescent="0.2">
      <c r="A18" s="1">
        <v>43615</v>
      </c>
      <c r="B18" s="2">
        <v>11177309.189999999</v>
      </c>
      <c r="C18" s="2">
        <v>-27845.29</v>
      </c>
      <c r="D18" s="14">
        <f>-(Table1[[#This Row],[Cashflow]])</f>
        <v>27845.29</v>
      </c>
      <c r="G18" s="19">
        <v>44650</v>
      </c>
      <c r="H18">
        <f t="shared" ca="1" si="0"/>
        <v>11375020.050000001</v>
      </c>
      <c r="I18">
        <f t="shared" ca="1" si="1"/>
        <v>118284.17</v>
      </c>
    </row>
    <row r="19" spans="1:9" x14ac:dyDescent="0.2">
      <c r="A19" s="1">
        <v>43646</v>
      </c>
      <c r="B19" s="2">
        <v>11146899.630000001</v>
      </c>
      <c r="C19" s="2">
        <v>-50222.23</v>
      </c>
      <c r="D19" s="14">
        <f>-(Table1[[#This Row],[Cashflow]])</f>
        <v>50222.23</v>
      </c>
      <c r="G19" s="20">
        <v>44742</v>
      </c>
      <c r="H19">
        <f t="shared" ca="1" si="0"/>
        <v>10840024.32</v>
      </c>
      <c r="I19">
        <f t="shared" ca="1" si="1"/>
        <v>81018.22</v>
      </c>
    </row>
    <row r="20" spans="1:9" x14ac:dyDescent="0.2">
      <c r="A20" s="1">
        <v>43676</v>
      </c>
      <c r="B20" s="2">
        <v>10911773.09</v>
      </c>
      <c r="C20" s="2">
        <v>-30441.200000000001</v>
      </c>
      <c r="D20" s="14">
        <f>-(Table1[[#This Row],[Cashflow]])</f>
        <v>30441.200000000001</v>
      </c>
      <c r="G20" s="20">
        <v>44834</v>
      </c>
      <c r="H20">
        <f t="shared" ca="1" si="0"/>
        <v>10575579.43</v>
      </c>
      <c r="I20">
        <f t="shared" ca="1" si="1"/>
        <v>0</v>
      </c>
    </row>
    <row r="21" spans="1:9" x14ac:dyDescent="0.2">
      <c r="A21" s="1">
        <v>43707</v>
      </c>
      <c r="B21" s="2">
        <v>10752471.51</v>
      </c>
      <c r="C21" s="2">
        <v>-28038.2</v>
      </c>
      <c r="D21" s="14">
        <f>-(Table1[[#This Row],[Cashflow]])</f>
        <v>28038.2</v>
      </c>
      <c r="G21" s="19">
        <v>44925</v>
      </c>
      <c r="H21">
        <f t="shared" ca="1" si="0"/>
        <v>11216853.220000001</v>
      </c>
      <c r="I21">
        <f t="shared" ca="1" si="1"/>
        <v>-43246.989999999991</v>
      </c>
    </row>
    <row r="22" spans="1:9" x14ac:dyDescent="0.2">
      <c r="A22" s="1">
        <v>43738</v>
      </c>
      <c r="B22" s="2">
        <v>11249173.25</v>
      </c>
      <c r="C22" s="2">
        <v>-66533.59</v>
      </c>
      <c r="D22" s="14">
        <f>-(Table1[[#This Row],[Cashflow]])</f>
        <v>66533.59</v>
      </c>
      <c r="G22" s="20"/>
    </row>
    <row r="23" spans="1:9" x14ac:dyDescent="0.2">
      <c r="A23" s="1">
        <v>43768</v>
      </c>
      <c r="B23" s="2">
        <v>11089526.880000001</v>
      </c>
      <c r="C23" s="2">
        <v>-14061.2</v>
      </c>
      <c r="D23" s="14">
        <f>-(Table1[[#This Row],[Cashflow]])</f>
        <v>14061.2</v>
      </c>
    </row>
    <row r="24" spans="1:9" x14ac:dyDescent="0.2">
      <c r="A24" s="1">
        <v>43799</v>
      </c>
      <c r="B24" s="2">
        <v>11459855.67</v>
      </c>
      <c r="C24" s="2">
        <v>-28488.2</v>
      </c>
      <c r="D24" s="14">
        <f>-(Table1[[#This Row],[Cashflow]])</f>
        <v>28488.2</v>
      </c>
    </row>
    <row r="25" spans="1:9" x14ac:dyDescent="0.2">
      <c r="A25" s="1">
        <v>43829</v>
      </c>
      <c r="B25" s="2">
        <v>11498725.48</v>
      </c>
      <c r="C25" s="2">
        <v>-66489.47</v>
      </c>
      <c r="D25" s="14">
        <f>-(Table1[[#This Row],[Cashflow]])</f>
        <v>66489.47</v>
      </c>
    </row>
    <row r="26" spans="1:9" x14ac:dyDescent="0.2">
      <c r="A26" s="1">
        <v>43860</v>
      </c>
      <c r="B26" s="2">
        <v>11108171.58</v>
      </c>
      <c r="C26" s="2">
        <v>-614061.19999999995</v>
      </c>
      <c r="D26" s="14">
        <f>-(Table1[[#This Row],[Cashflow]])</f>
        <v>614061.19999999995</v>
      </c>
    </row>
    <row r="27" spans="1:9" x14ac:dyDescent="0.2">
      <c r="A27" s="1">
        <v>43889</v>
      </c>
      <c r="B27" s="2">
        <v>10033588.140000001</v>
      </c>
      <c r="C27" s="2">
        <v>-362931.11</v>
      </c>
      <c r="D27" s="14">
        <f>-(Table1[[#This Row],[Cashflow]])</f>
        <v>362931.11</v>
      </c>
    </row>
    <row r="28" spans="1:9" x14ac:dyDescent="0.2">
      <c r="A28" s="1">
        <v>43920</v>
      </c>
      <c r="B28" s="2">
        <v>7737016.0800000001</v>
      </c>
      <c r="C28" s="2">
        <v>-89107.8</v>
      </c>
      <c r="D28" s="14">
        <f>-(Table1[[#This Row],[Cashflow]])</f>
        <v>89107.8</v>
      </c>
    </row>
    <row r="29" spans="1:9" x14ac:dyDescent="0.2">
      <c r="A29" s="1">
        <v>43951</v>
      </c>
      <c r="B29" s="2">
        <v>8137338.1200000001</v>
      </c>
      <c r="C29" s="2">
        <v>-14554.11</v>
      </c>
      <c r="D29" s="14">
        <f>-(Table1[[#This Row],[Cashflow]])</f>
        <v>14554.11</v>
      </c>
    </row>
    <row r="30" spans="1:9" x14ac:dyDescent="0.2">
      <c r="A30" s="1">
        <v>43981</v>
      </c>
      <c r="B30" s="2">
        <v>8170324.5</v>
      </c>
      <c r="C30" s="2">
        <v>-29731.11</v>
      </c>
      <c r="D30" s="14">
        <f>-(Table1[[#This Row],[Cashflow]])</f>
        <v>29731.11</v>
      </c>
    </row>
    <row r="31" spans="1:9" x14ac:dyDescent="0.2">
      <c r="A31" s="1">
        <v>44012</v>
      </c>
      <c r="B31" s="2">
        <v>8103584.5</v>
      </c>
      <c r="C31" s="2">
        <v>-63104.89</v>
      </c>
      <c r="D31" s="14">
        <f>-(Table1[[#This Row],[Cashflow]])</f>
        <v>63104.89</v>
      </c>
    </row>
    <row r="32" spans="1:9" x14ac:dyDescent="0.2">
      <c r="A32" s="1">
        <v>44042</v>
      </c>
      <c r="B32" s="2">
        <v>8049085.4699999997</v>
      </c>
      <c r="C32" s="2">
        <v>-14554.11</v>
      </c>
      <c r="D32" s="14">
        <f>-(Table1[[#This Row],[Cashflow]])</f>
        <v>14554.11</v>
      </c>
    </row>
    <row r="33" spans="1:4" x14ac:dyDescent="0.2">
      <c r="A33" s="1">
        <v>44073</v>
      </c>
      <c r="B33" s="2">
        <v>8321132.2199999997</v>
      </c>
      <c r="C33" s="2">
        <v>-29731.11</v>
      </c>
      <c r="D33" s="14">
        <f>-(Table1[[#This Row],[Cashflow]])</f>
        <v>29731.11</v>
      </c>
    </row>
    <row r="34" spans="1:4" x14ac:dyDescent="0.2">
      <c r="A34" s="1">
        <v>44104</v>
      </c>
      <c r="B34" s="2">
        <v>7740937.9800000004</v>
      </c>
      <c r="C34" s="2">
        <v>-62877.2</v>
      </c>
      <c r="D34" s="14">
        <f>-(Table1[[#This Row],[Cashflow]])</f>
        <v>62877.2</v>
      </c>
    </row>
    <row r="35" spans="1:4" x14ac:dyDescent="0.2">
      <c r="A35" s="1">
        <v>44134</v>
      </c>
      <c r="B35" s="2">
        <v>7550377.0700000003</v>
      </c>
      <c r="C35" s="2">
        <v>-14554.11</v>
      </c>
      <c r="D35" s="14">
        <f>-(Table1[[#This Row],[Cashflow]])</f>
        <v>14554.11</v>
      </c>
    </row>
    <row r="36" spans="1:4" x14ac:dyDescent="0.2">
      <c r="A36" s="1">
        <v>44165</v>
      </c>
      <c r="B36" s="2">
        <v>8619794.4800000004</v>
      </c>
      <c r="C36" s="2">
        <v>-29731.11</v>
      </c>
      <c r="D36" s="14">
        <f>-(Table1[[#This Row],[Cashflow]])</f>
        <v>29731.11</v>
      </c>
    </row>
    <row r="37" spans="1:4" x14ac:dyDescent="0.2">
      <c r="A37" s="1">
        <v>44195</v>
      </c>
      <c r="B37" s="2">
        <v>8678665.9800000004</v>
      </c>
      <c r="C37" s="2">
        <v>-62665.03</v>
      </c>
      <c r="D37" s="14">
        <f>-(Table1[[#This Row],[Cashflow]])</f>
        <v>62665.03</v>
      </c>
    </row>
    <row r="38" spans="1:4" x14ac:dyDescent="0.2">
      <c r="A38" s="1">
        <v>44226</v>
      </c>
      <c r="B38" s="2">
        <v>8838256.0600000005</v>
      </c>
      <c r="C38" s="2">
        <v>-14554.11</v>
      </c>
      <c r="D38" s="14">
        <f>-(Table1[[#This Row],[Cashflow]])</f>
        <v>14554.11</v>
      </c>
    </row>
    <row r="39" spans="1:4" x14ac:dyDescent="0.2">
      <c r="A39" s="1">
        <v>44255</v>
      </c>
      <c r="B39" s="2">
        <v>9385709.5</v>
      </c>
      <c r="C39" s="2">
        <v>-13531.11</v>
      </c>
      <c r="D39" s="14">
        <f>-(Table1[[#This Row],[Cashflow]])</f>
        <v>13531.11</v>
      </c>
    </row>
    <row r="40" spans="1:4" x14ac:dyDescent="0.2">
      <c r="A40" s="1">
        <v>44285</v>
      </c>
      <c r="B40" s="2">
        <v>9893742.5600000005</v>
      </c>
      <c r="C40" s="2">
        <v>-80237.62</v>
      </c>
      <c r="D40" s="14">
        <f>-(Table1[[#This Row],[Cashflow]])</f>
        <v>80237.62</v>
      </c>
    </row>
    <row r="41" spans="1:4" x14ac:dyDescent="0.2">
      <c r="A41" s="1">
        <v>44316</v>
      </c>
      <c r="B41" s="2">
        <v>10250128</v>
      </c>
      <c r="C41" s="2">
        <v>-14554.11</v>
      </c>
      <c r="D41" s="14">
        <f>-(Table1[[#This Row],[Cashflow]])</f>
        <v>14554.11</v>
      </c>
    </row>
    <row r="42" spans="1:4" x14ac:dyDescent="0.2">
      <c r="A42" s="1">
        <v>44346</v>
      </c>
      <c r="B42" s="2">
        <v>10530891.17</v>
      </c>
      <c r="C42" s="2">
        <f>-1029731.11+1000000</f>
        <v>-29731.109999999986</v>
      </c>
      <c r="D42" s="14">
        <f>-(Table1[[#This Row],[Cashflow]])</f>
        <v>29731.109999999986</v>
      </c>
    </row>
    <row r="43" spans="1:4" x14ac:dyDescent="0.2">
      <c r="A43" s="1">
        <v>44377</v>
      </c>
      <c r="B43" s="2">
        <v>10784034.470000001</v>
      </c>
      <c r="C43" s="2">
        <v>-63872.160000000003</v>
      </c>
      <c r="D43" s="14">
        <f>-(Table1[[#This Row],[Cashflow]])</f>
        <v>63872.160000000003</v>
      </c>
    </row>
    <row r="44" spans="1:4" x14ac:dyDescent="0.2">
      <c r="A44" s="1">
        <v>44407</v>
      </c>
      <c r="B44" s="2">
        <v>10594732.08</v>
      </c>
      <c r="C44" s="2">
        <v>-15746.61</v>
      </c>
      <c r="D44" s="14">
        <f>-(Table1[[#This Row],[Cashflow]])</f>
        <v>15746.61</v>
      </c>
    </row>
    <row r="45" spans="1:4" x14ac:dyDescent="0.2">
      <c r="A45" s="1">
        <v>44438</v>
      </c>
      <c r="B45" s="2">
        <v>10780611.65</v>
      </c>
      <c r="C45" s="2">
        <v>-29731.11</v>
      </c>
      <c r="D45" s="14">
        <f>-(Table1[[#This Row],[Cashflow]])</f>
        <v>29731.11</v>
      </c>
    </row>
    <row r="46" spans="1:4" x14ac:dyDescent="0.2">
      <c r="A46" s="1">
        <v>44469</v>
      </c>
      <c r="B46" s="2">
        <v>10976472.689999999</v>
      </c>
      <c r="C46" s="2">
        <v>-64172.74</v>
      </c>
      <c r="D46" s="14">
        <f>-(Table1[[#This Row],[Cashflow]])</f>
        <v>64172.74</v>
      </c>
    </row>
    <row r="47" spans="1:4" x14ac:dyDescent="0.2">
      <c r="A47" s="1">
        <v>44499</v>
      </c>
      <c r="B47" s="2">
        <v>11539348.57</v>
      </c>
      <c r="C47" s="2">
        <v>-15746.61</v>
      </c>
      <c r="D47" s="14">
        <f>-(Table1[[#This Row],[Cashflow]])</f>
        <v>15746.61</v>
      </c>
    </row>
    <row r="48" spans="1:4" x14ac:dyDescent="0.2">
      <c r="A48" s="1">
        <v>44530</v>
      </c>
      <c r="B48" s="2">
        <v>10241959.74</v>
      </c>
      <c r="C48" s="2">
        <v>-29731.11</v>
      </c>
      <c r="D48" s="14">
        <f>-(Table1[[#This Row],[Cashflow]])</f>
        <v>29731.11</v>
      </c>
    </row>
    <row r="49" spans="1:4" x14ac:dyDescent="0.2">
      <c r="A49" s="1">
        <v>44560</v>
      </c>
      <c r="B49" s="2">
        <v>10570692.17</v>
      </c>
      <c r="C49" s="2">
        <v>-73831.5</v>
      </c>
      <c r="D49" s="14">
        <f>-(Table1[[#This Row],[Cashflow]])</f>
        <v>73831.5</v>
      </c>
    </row>
    <row r="50" spans="1:4" x14ac:dyDescent="0.2">
      <c r="A50" s="1">
        <v>44591</v>
      </c>
      <c r="B50" s="2">
        <v>11091506.68</v>
      </c>
      <c r="C50" s="2">
        <v>-9931.11</v>
      </c>
      <c r="D50" s="14">
        <f>-(Table1[[#This Row],[Cashflow]])</f>
        <v>9931.11</v>
      </c>
    </row>
    <row r="51" spans="1:4" x14ac:dyDescent="0.2">
      <c r="A51" s="1">
        <v>44620</v>
      </c>
      <c r="B51" s="2">
        <v>11055461.619999999</v>
      </c>
      <c r="C51" s="2">
        <v>-32731.11</v>
      </c>
      <c r="D51" s="14">
        <f>-(Table1[[#This Row],[Cashflow]])</f>
        <v>32731.11</v>
      </c>
    </row>
    <row r="52" spans="1:4" x14ac:dyDescent="0.2">
      <c r="A52" s="1">
        <v>44650</v>
      </c>
      <c r="B52" s="2">
        <v>11375020.050000001</v>
      </c>
      <c r="C52" s="2">
        <v>-75621.95</v>
      </c>
      <c r="D52" s="14">
        <f>-(Table1[[#This Row],[Cashflow]])</f>
        <v>75621.95</v>
      </c>
    </row>
    <row r="53" spans="1:4" x14ac:dyDescent="0.2">
      <c r="A53" s="1">
        <v>44681</v>
      </c>
      <c r="B53" s="2">
        <v>11194468.07</v>
      </c>
      <c r="C53" s="2">
        <v>-9931.11</v>
      </c>
      <c r="D53" s="14">
        <f>-(Table1[[#This Row],[Cashflow]])</f>
        <v>9931.11</v>
      </c>
    </row>
    <row r="54" spans="1:4" x14ac:dyDescent="0.2">
      <c r="A54" s="1">
        <v>44711</v>
      </c>
      <c r="B54" s="2">
        <v>11513212.060000001</v>
      </c>
      <c r="C54" s="2">
        <v>-32731.11</v>
      </c>
      <c r="D54" s="14">
        <f>-(Table1[[#This Row],[Cashflow]])</f>
        <v>32731.11</v>
      </c>
    </row>
    <row r="55" spans="1:4" x14ac:dyDescent="0.2">
      <c r="A55" s="1">
        <v>44742</v>
      </c>
      <c r="B55" s="2">
        <v>10840024.32</v>
      </c>
      <c r="C55" s="2">
        <v>-38356</v>
      </c>
      <c r="D55" s="14">
        <f>-(Table1[[#This Row],[Cashflow]])</f>
        <v>38356</v>
      </c>
    </row>
    <row r="56" spans="1:4" x14ac:dyDescent="0.2">
      <c r="A56" s="1">
        <v>44772</v>
      </c>
      <c r="B56" s="2">
        <v>11130014.720000001</v>
      </c>
      <c r="C56" s="2">
        <v>0</v>
      </c>
      <c r="D56" s="14">
        <f>-(Table1[[#This Row],[Cashflow]])</f>
        <v>0</v>
      </c>
    </row>
    <row r="57" spans="1:4" x14ac:dyDescent="0.2">
      <c r="A57" s="1">
        <v>44803</v>
      </c>
      <c r="B57" s="2">
        <v>10891318.359999999</v>
      </c>
      <c r="C57" s="2">
        <v>0</v>
      </c>
      <c r="D57" s="14">
        <f>-(Table1[[#This Row],[Cashflow]])</f>
        <v>0</v>
      </c>
    </row>
    <row r="58" spans="1:4" x14ac:dyDescent="0.2">
      <c r="A58" s="1">
        <v>44834</v>
      </c>
      <c r="B58" s="2">
        <v>10575579.43</v>
      </c>
      <c r="C58" s="2">
        <v>0</v>
      </c>
      <c r="D58" s="14">
        <f>-(Table1[[#This Row],[Cashflow]])</f>
        <v>0</v>
      </c>
    </row>
    <row r="59" spans="1:4" x14ac:dyDescent="0.2">
      <c r="A59" s="1">
        <v>44864</v>
      </c>
      <c r="B59" s="2">
        <v>11184750.5</v>
      </c>
      <c r="C59" s="2">
        <v>0</v>
      </c>
      <c r="D59" s="14">
        <f>-(Table1[[#This Row],[Cashflow]])</f>
        <v>0</v>
      </c>
    </row>
    <row r="60" spans="1:4" x14ac:dyDescent="0.2">
      <c r="A60" s="1">
        <v>44895</v>
      </c>
      <c r="B60" s="2">
        <v>11675685.32</v>
      </c>
      <c r="C60" s="2">
        <v>0</v>
      </c>
      <c r="D60" s="14">
        <f>-(Table1[[#This Row],[Cashflow]])</f>
        <v>0</v>
      </c>
    </row>
    <row r="61" spans="1:4" x14ac:dyDescent="0.2">
      <c r="A61" s="1">
        <v>44925</v>
      </c>
      <c r="B61" s="2">
        <v>11216853.220000001</v>
      </c>
      <c r="C61" s="2">
        <f>685000-641753.01</f>
        <v>43246.989999999991</v>
      </c>
      <c r="D61" s="14">
        <f>-(Table1[[#This Row],[Cashflow]])</f>
        <v>-43246.989999999991</v>
      </c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9D363-48E1-4A0E-B6B7-9F580E97CF5B}">
  <sheetPr codeName="Sheet3"/>
  <dimension ref="A1:N60"/>
  <sheetViews>
    <sheetView topLeftCell="B1" zoomScale="79" workbookViewId="0">
      <selection activeCell="J2" sqref="J2:K19"/>
    </sheetView>
  </sheetViews>
  <sheetFormatPr baseColWidth="10" defaultColWidth="16.83203125" defaultRowHeight="15" x14ac:dyDescent="0.2"/>
  <cols>
    <col min="2" max="3" width="16.83203125" style="3"/>
    <col min="4" max="4" width="16.83203125" style="4"/>
    <col min="5" max="6" width="16.83203125" style="12"/>
    <col min="10" max="10" width="21.6640625" customWidth="1"/>
    <col min="11" max="11" width="33.33203125" customWidth="1"/>
    <col min="15" max="15" width="19.83203125" customWidth="1"/>
    <col min="16" max="16" width="20.1640625" customWidth="1"/>
  </cols>
  <sheetData>
    <row r="1" spans="1:14" x14ac:dyDescent="0.2">
      <c r="A1" s="6" t="s">
        <v>0</v>
      </c>
      <c r="B1" s="5" t="s">
        <v>4</v>
      </c>
      <c r="C1" s="5" t="s">
        <v>2</v>
      </c>
      <c r="D1" s="7" t="s">
        <v>3</v>
      </c>
      <c r="E1" s="11" t="s">
        <v>8</v>
      </c>
      <c r="F1" s="11" t="s">
        <v>9</v>
      </c>
      <c r="G1" s="10" t="s">
        <v>11</v>
      </c>
      <c r="I1" s="18" t="s">
        <v>12</v>
      </c>
      <c r="J1" t="s">
        <v>13</v>
      </c>
      <c r="K1" t="s">
        <v>14</v>
      </c>
    </row>
    <row r="2" spans="1:14" x14ac:dyDescent="0.2">
      <c r="A2" s="1">
        <v>43311</v>
      </c>
      <c r="B2" s="3">
        <v>58454452.719999999</v>
      </c>
      <c r="C2" s="3">
        <v>-113371.82</v>
      </c>
      <c r="D2" s="4">
        <v>1.3</v>
      </c>
      <c r="E2" s="3">
        <f>Table14[[#This Row],[USD Value]]*Table14[[#This Row],[USD/CAD]]</f>
        <v>75990788.535999998</v>
      </c>
      <c r="F2" s="3">
        <f>Table14[[#This Row],[Cashflow]]*Table14[[#This Row],[USD/CAD]]</f>
        <v>-147383.36600000001</v>
      </c>
      <c r="G2" s="3">
        <f>-(Table14[[#This Row],[CAD Cashflow]])</f>
        <v>147383.36600000001</v>
      </c>
      <c r="I2" s="20">
        <v>43373</v>
      </c>
      <c r="J2">
        <f ca="1">SUM(OFFSET($E$4,(ROW()-ROW($J$2))*3,0,1,1))</f>
        <v>76817538.330333993</v>
      </c>
      <c r="K2">
        <f ca="1">SUM(OFFSET($G$2,(ROW()-ROW($K$2))*3,0,3,1))</f>
        <v>417522.65543500002</v>
      </c>
      <c r="N2" s="20"/>
    </row>
    <row r="3" spans="1:14" x14ac:dyDescent="0.2">
      <c r="A3" s="1">
        <v>43342</v>
      </c>
      <c r="B3" s="3">
        <v>58787826.950000003</v>
      </c>
      <c r="C3" s="3">
        <v>-73539.34</v>
      </c>
      <c r="D3" s="4">
        <v>1.306</v>
      </c>
      <c r="E3" s="3">
        <f>Table14[[#This Row],[USD Value]]*Table14[[#This Row],[USD/CAD]]</f>
        <v>76776901.996700004</v>
      </c>
      <c r="F3" s="3">
        <f>Table14[[#This Row],[Cashflow]]*Table14[[#This Row],[USD/CAD]]</f>
        <v>-96042.378039999996</v>
      </c>
      <c r="G3" s="3">
        <f>-(Table14[[#This Row],[CAD Cashflow]])</f>
        <v>96042.378039999996</v>
      </c>
      <c r="I3" s="20">
        <v>43464</v>
      </c>
      <c r="J3">
        <f t="shared" ref="J3:J19" ca="1" si="0">SUM(OFFSET($E$4,(ROW()-ROW($J$2))*3,0,1,1))</f>
        <v>78261382.276350006</v>
      </c>
      <c r="K3">
        <f t="shared" ref="K3:K19" ca="1" si="1">SUM(OFFSET($G$2,(ROW()-ROW($K$2))*3,0,3,1))</f>
        <v>-173581.15597199998</v>
      </c>
      <c r="N3" s="20"/>
    </row>
    <row r="4" spans="1:14" x14ac:dyDescent="0.2">
      <c r="A4" s="1">
        <v>43373</v>
      </c>
      <c r="B4" s="3">
        <v>59442496.579999998</v>
      </c>
      <c r="C4" s="3">
        <v>-134718.65</v>
      </c>
      <c r="D4" s="4">
        <v>1.2923</v>
      </c>
      <c r="E4" s="3">
        <f>Table14[[#This Row],[USD Value]]*Table14[[#This Row],[USD/CAD]]</f>
        <v>76817538.330333993</v>
      </c>
      <c r="F4" s="3">
        <f>Table14[[#This Row],[Cashflow]]*Table14[[#This Row],[USD/CAD]]</f>
        <v>-174096.911395</v>
      </c>
      <c r="G4" s="3">
        <f>-(Table14[[#This Row],[CAD Cashflow]])</f>
        <v>174096.911395</v>
      </c>
      <c r="I4" s="19">
        <v>43554</v>
      </c>
      <c r="J4">
        <f t="shared" ca="1" si="0"/>
        <v>82086392.888280004</v>
      </c>
      <c r="K4">
        <f t="shared" ca="1" si="1"/>
        <v>406733.76405</v>
      </c>
      <c r="N4" s="20"/>
    </row>
    <row r="5" spans="1:14" x14ac:dyDescent="0.2">
      <c r="A5" s="1">
        <v>43403</v>
      </c>
      <c r="B5" s="3">
        <v>58493462.130000003</v>
      </c>
      <c r="C5" s="3">
        <v>-131312.32000000001</v>
      </c>
      <c r="D5" s="4">
        <v>1.3154999999999999</v>
      </c>
      <c r="E5" s="3">
        <f>Table14[[#This Row],[USD Value]]*Table14[[#This Row],[USD/CAD]]</f>
        <v>76948149.432015002</v>
      </c>
      <c r="F5" s="3">
        <f>Table14[[#This Row],[Cashflow]]*Table14[[#This Row],[USD/CAD]]</f>
        <v>-172741.35696</v>
      </c>
      <c r="G5" s="3">
        <f>-(Table14[[#This Row],[CAD Cashflow]])</f>
        <v>172741.35696</v>
      </c>
      <c r="I5" s="20">
        <v>43646</v>
      </c>
      <c r="J5">
        <f t="shared" ca="1" si="0"/>
        <v>81106752.178759992</v>
      </c>
      <c r="K5">
        <f t="shared" ca="1" si="1"/>
        <v>447936.71576000005</v>
      </c>
      <c r="N5" s="19"/>
    </row>
    <row r="6" spans="1:14" x14ac:dyDescent="0.2">
      <c r="A6" s="1">
        <v>43434</v>
      </c>
      <c r="B6" s="3">
        <v>60787474.219999999</v>
      </c>
      <c r="C6" s="3">
        <v>-77619.34</v>
      </c>
      <c r="D6" s="4">
        <v>1.3302</v>
      </c>
      <c r="E6" s="3">
        <f>Table14[[#This Row],[USD Value]]*Table14[[#This Row],[USD/CAD]]</f>
        <v>80859498.207443997</v>
      </c>
      <c r="F6" s="3">
        <f>Table14[[#This Row],[Cashflow]]*Table14[[#This Row],[USD/CAD]]</f>
        <v>-103249.24606799999</v>
      </c>
      <c r="G6" s="3">
        <f>-(Table14[[#This Row],[CAD Cashflow]])</f>
        <v>103249.24606799999</v>
      </c>
      <c r="I6" s="20">
        <v>43738</v>
      </c>
      <c r="J6">
        <f t="shared" ca="1" si="0"/>
        <v>82658329.271960005</v>
      </c>
      <c r="K6">
        <f t="shared" ca="1" si="1"/>
        <v>446917.69864000002</v>
      </c>
    </row>
    <row r="7" spans="1:14" x14ac:dyDescent="0.2">
      <c r="A7" s="1">
        <v>43464</v>
      </c>
      <c r="B7" s="3">
        <v>57334345.990000002</v>
      </c>
      <c r="C7" s="3">
        <f>480000-150643.4</f>
        <v>329356.59999999998</v>
      </c>
      <c r="D7" s="4">
        <v>1.365</v>
      </c>
      <c r="E7" s="3">
        <f>Table14[[#This Row],[USD Value]]*Table14[[#This Row],[USD/CAD]]</f>
        <v>78261382.276350006</v>
      </c>
      <c r="F7" s="3">
        <f>Table14[[#This Row],[Cashflow]]*Table14[[#This Row],[USD/CAD]]</f>
        <v>449571.75899999996</v>
      </c>
      <c r="G7" s="3">
        <f>-(Table14[[#This Row],[CAD Cashflow]])</f>
        <v>-449571.75899999996</v>
      </c>
      <c r="I7" s="20">
        <v>43829</v>
      </c>
      <c r="J7">
        <f t="shared" ca="1" si="0"/>
        <v>84642743.91144</v>
      </c>
      <c r="K7">
        <f t="shared" ca="1" si="1"/>
        <v>473789.71814000001</v>
      </c>
    </row>
    <row r="8" spans="1:14" x14ac:dyDescent="0.2">
      <c r="A8" s="1">
        <v>43495</v>
      </c>
      <c r="B8" s="3">
        <v>58942214.380000003</v>
      </c>
      <c r="C8" s="3">
        <v>-96113.67</v>
      </c>
      <c r="D8" s="4">
        <v>1.3134999999999999</v>
      </c>
      <c r="E8" s="3">
        <f>Table14[[#This Row],[USD Value]]*Table14[[#This Row],[USD/CAD]]</f>
        <v>77420598.588129997</v>
      </c>
      <c r="F8" s="3">
        <f>Table14[[#This Row],[Cashflow]]*Table14[[#This Row],[USD/CAD]]</f>
        <v>-126245.30554499998</v>
      </c>
      <c r="G8" s="3">
        <f>-(Table14[[#This Row],[CAD Cashflow]])</f>
        <v>126245.30554499998</v>
      </c>
      <c r="I8" s="19">
        <v>43920</v>
      </c>
      <c r="J8">
        <f t="shared" ca="1" si="0"/>
        <v>77924803.529100001</v>
      </c>
      <c r="K8">
        <f t="shared" ca="1" si="1"/>
        <v>441713.780195</v>
      </c>
    </row>
    <row r="9" spans="1:14" x14ac:dyDescent="0.2">
      <c r="A9" s="1">
        <v>43524</v>
      </c>
      <c r="B9" s="3">
        <v>59965284.590000004</v>
      </c>
      <c r="C9" s="3">
        <v>-80339.34</v>
      </c>
      <c r="D9" s="4">
        <v>1.3149999999999999</v>
      </c>
      <c r="E9" s="3">
        <f>Table14[[#This Row],[USD Value]]*Table14[[#This Row],[USD/CAD]]</f>
        <v>78854349.235850006</v>
      </c>
      <c r="F9" s="3">
        <f>Table14[[#This Row],[Cashflow]]*Table14[[#This Row],[USD/CAD]]</f>
        <v>-105646.23209999999</v>
      </c>
      <c r="G9" s="3">
        <f>-(Table14[[#This Row],[CAD Cashflow]])</f>
        <v>105646.23209999999</v>
      </c>
      <c r="I9" s="20">
        <v>44012</v>
      </c>
      <c r="J9">
        <f t="shared" ca="1" si="0"/>
        <v>81746974.353240013</v>
      </c>
      <c r="K9">
        <f t="shared" ca="1" si="1"/>
        <v>482080.72573999997</v>
      </c>
    </row>
    <row r="10" spans="1:14" x14ac:dyDescent="0.2">
      <c r="A10" s="1">
        <v>43554</v>
      </c>
      <c r="B10" s="3">
        <v>61418924.719999999</v>
      </c>
      <c r="C10" s="3">
        <v>-130820.97</v>
      </c>
      <c r="D10" s="4">
        <v>1.3365</v>
      </c>
      <c r="E10" s="3">
        <f>Table14[[#This Row],[USD Value]]*Table14[[#This Row],[USD/CAD]]</f>
        <v>82086392.888280004</v>
      </c>
      <c r="F10" s="3">
        <f>Table14[[#This Row],[Cashflow]]*Table14[[#This Row],[USD/CAD]]</f>
        <v>-174842.22640499999</v>
      </c>
      <c r="G10" s="3">
        <f>-(Table14[[#This Row],[CAD Cashflow]])</f>
        <v>174842.22640499999</v>
      </c>
      <c r="I10" s="20">
        <v>44104</v>
      </c>
      <c r="J10">
        <f t="shared" ca="1" si="0"/>
        <v>84261739.195239991</v>
      </c>
      <c r="K10">
        <f t="shared" ca="1" si="1"/>
        <v>442009.59966499999</v>
      </c>
    </row>
    <row r="11" spans="1:14" x14ac:dyDescent="0.2">
      <c r="A11" s="1">
        <v>43585</v>
      </c>
      <c r="B11" s="3">
        <v>62163154.640000001</v>
      </c>
      <c r="C11" s="3">
        <v>-98150.27</v>
      </c>
      <c r="D11" s="4">
        <v>1.3385</v>
      </c>
      <c r="E11" s="3">
        <f>Table14[[#This Row],[USD Value]]*Table14[[#This Row],[USD/CAD]]</f>
        <v>83205382.485640004</v>
      </c>
      <c r="F11" s="3">
        <f>Table14[[#This Row],[Cashflow]]*Table14[[#This Row],[USD/CAD]]</f>
        <v>-131374.13639500001</v>
      </c>
      <c r="G11" s="3">
        <f>-(Table14[[#This Row],[CAD Cashflow]])</f>
        <v>131374.13639500001</v>
      </c>
      <c r="I11" s="20">
        <v>44195</v>
      </c>
      <c r="J11">
        <f t="shared" ca="1" si="0"/>
        <v>85906819.412910014</v>
      </c>
      <c r="K11">
        <f t="shared" ca="1" si="1"/>
        <v>473806.23291999998</v>
      </c>
    </row>
    <row r="12" spans="1:14" x14ac:dyDescent="0.2">
      <c r="A12" s="1">
        <v>43615</v>
      </c>
      <c r="B12" s="3">
        <v>59650470.920000002</v>
      </c>
      <c r="C12" s="3">
        <v>-112317.35</v>
      </c>
      <c r="D12" s="4">
        <v>1.3525</v>
      </c>
      <c r="E12" s="3">
        <f>Table14[[#This Row],[USD Value]]*Table14[[#This Row],[USD/CAD]]</f>
        <v>80677261.919300005</v>
      </c>
      <c r="F12" s="3">
        <f>Table14[[#This Row],[Cashflow]]*Table14[[#This Row],[USD/CAD]]</f>
        <v>-151909.21587500002</v>
      </c>
      <c r="G12" s="3">
        <f>-(Table14[[#This Row],[CAD Cashflow]])</f>
        <v>151909.21587500002</v>
      </c>
      <c r="I12" s="19">
        <v>44285</v>
      </c>
      <c r="J12">
        <f t="shared" ca="1" si="0"/>
        <v>88937421.389575005</v>
      </c>
      <c r="K12">
        <f t="shared" ca="1" si="1"/>
        <v>411417.450985</v>
      </c>
    </row>
    <row r="13" spans="1:14" x14ac:dyDescent="0.2">
      <c r="A13" s="1">
        <v>43646</v>
      </c>
      <c r="B13" s="3">
        <v>61960849.640000001</v>
      </c>
      <c r="C13" s="3">
        <v>-125785.61</v>
      </c>
      <c r="D13" s="4">
        <v>1.3089999999999999</v>
      </c>
      <c r="E13" s="3">
        <f>Table14[[#This Row],[USD Value]]*Table14[[#This Row],[USD/CAD]]</f>
        <v>81106752.178759992</v>
      </c>
      <c r="F13" s="3">
        <f>Table14[[#This Row],[Cashflow]]*Table14[[#This Row],[USD/CAD]]</f>
        <v>-164653.36348999999</v>
      </c>
      <c r="G13" s="3">
        <f>-(Table14[[#This Row],[CAD Cashflow]])</f>
        <v>164653.36348999999</v>
      </c>
      <c r="I13" s="20">
        <v>44377</v>
      </c>
      <c r="J13">
        <f t="shared" ca="1" si="0"/>
        <v>90662928.759524986</v>
      </c>
      <c r="K13">
        <f t="shared" ca="1" si="1"/>
        <v>1444123.238045</v>
      </c>
    </row>
    <row r="14" spans="1:14" x14ac:dyDescent="0.2">
      <c r="A14" s="1">
        <v>43676</v>
      </c>
      <c r="B14" s="3">
        <v>61827965.759999998</v>
      </c>
      <c r="C14" s="3">
        <v>-121387.14</v>
      </c>
      <c r="D14" s="4">
        <v>1.32</v>
      </c>
      <c r="E14" s="3">
        <f>Table14[[#This Row],[USD Value]]*Table14[[#This Row],[USD/CAD]]</f>
        <v>81612914.803200006</v>
      </c>
      <c r="F14" s="3">
        <f>Table14[[#This Row],[Cashflow]]*Table14[[#This Row],[USD/CAD]]</f>
        <v>-160231.02480000001</v>
      </c>
      <c r="G14" s="3">
        <f>-(Table14[[#This Row],[CAD Cashflow]])</f>
        <v>160231.02480000001</v>
      </c>
      <c r="I14" s="20">
        <v>44469</v>
      </c>
      <c r="J14">
        <f t="shared" ca="1" si="0"/>
        <v>91736909.475799993</v>
      </c>
      <c r="K14">
        <f t="shared" ca="1" si="1"/>
        <v>447360.88072000002</v>
      </c>
    </row>
    <row r="15" spans="1:14" x14ac:dyDescent="0.2">
      <c r="A15" s="1">
        <v>43707</v>
      </c>
      <c r="B15" s="3">
        <v>61510800.829999998</v>
      </c>
      <c r="C15" s="3">
        <v>-81717.350000000006</v>
      </c>
      <c r="D15" s="4">
        <v>1.3320000000000001</v>
      </c>
      <c r="E15" s="3">
        <f>Table14[[#This Row],[USD Value]]*Table14[[#This Row],[USD/CAD]]</f>
        <v>81932386.705559999</v>
      </c>
      <c r="F15" s="3">
        <f>Table14[[#This Row],[Cashflow]]*Table14[[#This Row],[USD/CAD]]</f>
        <v>-108847.51020000002</v>
      </c>
      <c r="G15" s="3">
        <f>-(Table14[[#This Row],[CAD Cashflow]])</f>
        <v>108847.51020000002</v>
      </c>
      <c r="I15" s="20">
        <v>44560</v>
      </c>
      <c r="J15">
        <f t="shared" ca="1" si="0"/>
        <v>98539364.087549999</v>
      </c>
      <c r="K15">
        <f t="shared" ca="1" si="1"/>
        <v>492760.52707499999</v>
      </c>
    </row>
    <row r="16" spans="1:14" x14ac:dyDescent="0.2">
      <c r="A16" s="1">
        <v>43738</v>
      </c>
      <c r="B16" s="3">
        <v>62430762.289999999</v>
      </c>
      <c r="C16" s="3">
        <v>-134319.60999999999</v>
      </c>
      <c r="D16" s="4">
        <v>1.3240000000000001</v>
      </c>
      <c r="E16" s="3">
        <f>Table14[[#This Row],[USD Value]]*Table14[[#This Row],[USD/CAD]]</f>
        <v>82658329.271960005</v>
      </c>
      <c r="F16" s="3">
        <f>Table14[[#This Row],[Cashflow]]*Table14[[#This Row],[USD/CAD]]</f>
        <v>-177839.16363999998</v>
      </c>
      <c r="G16" s="3">
        <f>-(Table14[[#This Row],[CAD Cashflow]])</f>
        <v>177839.16363999998</v>
      </c>
      <c r="I16" s="19">
        <v>44650</v>
      </c>
      <c r="J16">
        <f t="shared" ca="1" si="0"/>
        <v>96787557.487499997</v>
      </c>
      <c r="K16">
        <f t="shared" ca="1" si="1"/>
        <v>396522.19472500001</v>
      </c>
    </row>
    <row r="17" spans="1:11" x14ac:dyDescent="0.2">
      <c r="A17" s="1">
        <v>43768</v>
      </c>
      <c r="B17" s="3">
        <v>62660407.270000003</v>
      </c>
      <c r="C17" s="3">
        <v>-127516.91</v>
      </c>
      <c r="D17" s="4">
        <v>1.3160000000000001</v>
      </c>
      <c r="E17" s="3">
        <f>Table14[[#This Row],[USD Value]]*Table14[[#This Row],[USD/CAD]]</f>
        <v>82461095.96732001</v>
      </c>
      <c r="F17" s="3">
        <f>Table14[[#This Row],[Cashflow]]*Table14[[#This Row],[USD/CAD]]</f>
        <v>-167812.25356000001</v>
      </c>
      <c r="G17" s="3">
        <f>-(Table14[[#This Row],[CAD Cashflow]])</f>
        <v>167812.25356000001</v>
      </c>
      <c r="I17" s="20">
        <v>44742</v>
      </c>
      <c r="J17">
        <f t="shared" ca="1" si="0"/>
        <v>95616815.310750008</v>
      </c>
      <c r="K17">
        <f t="shared" ca="1" si="1"/>
        <v>279085.64448000002</v>
      </c>
    </row>
    <row r="18" spans="1:11" x14ac:dyDescent="0.2">
      <c r="A18" s="1">
        <v>43799</v>
      </c>
      <c r="B18" s="3">
        <v>63695776.32</v>
      </c>
      <c r="C18" s="3">
        <v>-83417.350000000006</v>
      </c>
      <c r="D18" s="4">
        <v>1.3280000000000001</v>
      </c>
      <c r="E18" s="3">
        <f>Table14[[#This Row],[USD Value]]*Table14[[#This Row],[USD/CAD]]</f>
        <v>84587990.952959999</v>
      </c>
      <c r="F18" s="3">
        <f>Table14[[#This Row],[Cashflow]]*Table14[[#This Row],[USD/CAD]]</f>
        <v>-110778.24080000001</v>
      </c>
      <c r="G18" s="3">
        <f>-(Table14[[#This Row],[CAD Cashflow]])</f>
        <v>110778.24080000001</v>
      </c>
      <c r="I18" s="20">
        <v>44834</v>
      </c>
      <c r="J18">
        <f t="shared" ca="1" si="0"/>
        <v>95638991.828274995</v>
      </c>
      <c r="K18">
        <f t="shared" ca="1" si="1"/>
        <v>0</v>
      </c>
    </row>
    <row r="19" spans="1:11" x14ac:dyDescent="0.2">
      <c r="A19" s="1">
        <v>43829</v>
      </c>
      <c r="B19" s="3">
        <v>65210126.280000001</v>
      </c>
      <c r="C19" s="3">
        <v>-150384.60999999999</v>
      </c>
      <c r="D19" s="4">
        <v>1.298</v>
      </c>
      <c r="E19" s="3">
        <f>Table14[[#This Row],[USD Value]]*Table14[[#This Row],[USD/CAD]]</f>
        <v>84642743.91144</v>
      </c>
      <c r="F19" s="3">
        <f>Table14[[#This Row],[Cashflow]]*Table14[[#This Row],[USD/CAD]]</f>
        <v>-195199.22378</v>
      </c>
      <c r="G19" s="3">
        <f>-(Table14[[#This Row],[CAD Cashflow]])</f>
        <v>195199.22378</v>
      </c>
      <c r="I19" s="19">
        <v>44925</v>
      </c>
      <c r="J19">
        <f t="shared" ca="1" si="0"/>
        <v>106091315.36652</v>
      </c>
      <c r="K19">
        <f t="shared" ca="1" si="1"/>
        <v>859431.35025000002</v>
      </c>
    </row>
    <row r="20" spans="1:11" x14ac:dyDescent="0.2">
      <c r="A20" s="1">
        <v>43860</v>
      </c>
      <c r="B20" s="3">
        <v>65251193.710000001</v>
      </c>
      <c r="C20" s="3">
        <v>-101359.87</v>
      </c>
      <c r="D20" s="4">
        <v>1.3234999999999999</v>
      </c>
      <c r="E20" s="3">
        <f>Table14[[#This Row],[USD Value]]*Table14[[#This Row],[USD/CAD]]</f>
        <v>86359954.875184998</v>
      </c>
      <c r="F20" s="3">
        <f>Table14[[#This Row],[Cashflow]]*Table14[[#This Row],[USD/CAD]]</f>
        <v>-134149.78794499999</v>
      </c>
      <c r="G20" s="3">
        <f>-(Table14[[#This Row],[CAD Cashflow]])</f>
        <v>134149.78794499999</v>
      </c>
    </row>
    <row r="21" spans="1:11" x14ac:dyDescent="0.2">
      <c r="A21" s="1">
        <v>43889</v>
      </c>
      <c r="B21" s="3">
        <v>59987517.740000002</v>
      </c>
      <c r="C21" s="3">
        <v>-86137.35</v>
      </c>
      <c r="D21" s="4">
        <v>1.341</v>
      </c>
      <c r="E21" s="3">
        <f>Table14[[#This Row],[USD Value]]*Table14[[#This Row],[USD/CAD]]</f>
        <v>80443261.289340004</v>
      </c>
      <c r="F21" s="3">
        <f>Table14[[#This Row],[Cashflow]]*Table14[[#This Row],[USD/CAD]]</f>
        <v>-115510.18635</v>
      </c>
      <c r="G21" s="3">
        <f>-(Table14[[#This Row],[CAD Cashflow]])</f>
        <v>115510.18635</v>
      </c>
    </row>
    <row r="22" spans="1:11" x14ac:dyDescent="0.2">
      <c r="A22" s="1">
        <v>43920</v>
      </c>
      <c r="B22" s="3">
        <v>55561357.240000002</v>
      </c>
      <c r="C22" s="3">
        <v>-136936.76</v>
      </c>
      <c r="D22" s="4">
        <v>1.4025000000000001</v>
      </c>
      <c r="E22" s="3">
        <f>Table14[[#This Row],[USD Value]]*Table14[[#This Row],[USD/CAD]]</f>
        <v>77924803.529100001</v>
      </c>
      <c r="F22" s="3">
        <f>Table14[[#This Row],[Cashflow]]*Table14[[#This Row],[USD/CAD]]</f>
        <v>-192053.80590000004</v>
      </c>
      <c r="G22" s="3">
        <f>-(Table14[[#This Row],[CAD Cashflow]])</f>
        <v>192053.80590000004</v>
      </c>
      <c r="I22" s="20"/>
    </row>
    <row r="23" spans="1:11" x14ac:dyDescent="0.2">
      <c r="A23" s="1">
        <v>43951</v>
      </c>
      <c r="B23" s="3">
        <v>60384589.950000003</v>
      </c>
      <c r="C23" s="3">
        <v>-95066.880000000005</v>
      </c>
      <c r="D23" s="4">
        <v>1.3919999999999999</v>
      </c>
      <c r="E23" s="3">
        <f>Table14[[#This Row],[USD Value]]*Table14[[#This Row],[USD/CAD]]</f>
        <v>84055349.2104</v>
      </c>
      <c r="F23" s="3">
        <f>Table14[[#This Row],[Cashflow]]*Table14[[#This Row],[USD/CAD]]</f>
        <v>-132333.09696</v>
      </c>
      <c r="G23" s="3">
        <f>-(Table14[[#This Row],[CAD Cashflow]])</f>
        <v>132333.09696</v>
      </c>
    </row>
    <row r="24" spans="1:11" x14ac:dyDescent="0.2">
      <c r="A24" s="1">
        <v>43981</v>
      </c>
      <c r="B24" s="3">
        <v>60897420.57</v>
      </c>
      <c r="C24" s="3">
        <v>-121077.65</v>
      </c>
      <c r="D24" s="4">
        <v>1.3759999999999999</v>
      </c>
      <c r="E24" s="3">
        <f>Table14[[#This Row],[USD Value]]*Table14[[#This Row],[USD/CAD]]</f>
        <v>83794850.704319999</v>
      </c>
      <c r="F24" s="3">
        <f>Table14[[#This Row],[Cashflow]]*Table14[[#This Row],[USD/CAD]]</f>
        <v>-166602.84639999998</v>
      </c>
      <c r="G24" s="3">
        <f>-(Table14[[#This Row],[CAD Cashflow]])</f>
        <v>166602.84639999998</v>
      </c>
    </row>
    <row r="25" spans="1:11" x14ac:dyDescent="0.2">
      <c r="A25" s="1">
        <v>44012</v>
      </c>
      <c r="B25" s="3">
        <v>60196593.780000001</v>
      </c>
      <c r="C25" s="3">
        <v>-134863.60999999999</v>
      </c>
      <c r="D25" s="4">
        <v>1.3580000000000001</v>
      </c>
      <c r="E25" s="3">
        <f>Table14[[#This Row],[USD Value]]*Table14[[#This Row],[USD/CAD]]</f>
        <v>81746974.353240013</v>
      </c>
      <c r="F25" s="3">
        <f>Table14[[#This Row],[Cashflow]]*Table14[[#This Row],[USD/CAD]]</f>
        <v>-183144.78237999999</v>
      </c>
      <c r="G25" s="3">
        <f>-(Table14[[#This Row],[CAD Cashflow]])</f>
        <v>183144.78237999999</v>
      </c>
    </row>
    <row r="26" spans="1:11" x14ac:dyDescent="0.2">
      <c r="A26" s="1">
        <v>44042</v>
      </c>
      <c r="B26" s="3">
        <v>62478888.469999999</v>
      </c>
      <c r="C26" s="3">
        <v>-119353.95</v>
      </c>
      <c r="D26" s="4">
        <v>1.3394999999999999</v>
      </c>
      <c r="E26" s="3">
        <f>Table14[[#This Row],[USD Value]]*Table14[[#This Row],[USD/CAD]]</f>
        <v>83690471.105564997</v>
      </c>
      <c r="F26" s="3">
        <f>Table14[[#This Row],[Cashflow]]*Table14[[#This Row],[USD/CAD]]</f>
        <v>-159874.616025</v>
      </c>
      <c r="G26" s="3">
        <f>-(Table14[[#This Row],[CAD Cashflow]])</f>
        <v>159874.616025</v>
      </c>
    </row>
    <row r="27" spans="1:11" x14ac:dyDescent="0.2">
      <c r="A27" s="1">
        <v>44073</v>
      </c>
      <c r="B27" s="3">
        <v>64637463.950000003</v>
      </c>
      <c r="C27" s="3">
        <v>-88947.65</v>
      </c>
      <c r="D27" s="4">
        <v>1.3045</v>
      </c>
      <c r="E27" s="3">
        <f>Table14[[#This Row],[USD Value]]*Table14[[#This Row],[USD/CAD]]</f>
        <v>84319571.722774997</v>
      </c>
      <c r="F27" s="3">
        <f>Table14[[#This Row],[Cashflow]]*Table14[[#This Row],[USD/CAD]]</f>
        <v>-116032.20942499999</v>
      </c>
      <c r="G27" s="3">
        <f>-(Table14[[#This Row],[CAD Cashflow]])</f>
        <v>116032.20942499999</v>
      </c>
    </row>
    <row r="28" spans="1:11" x14ac:dyDescent="0.2">
      <c r="A28" s="1">
        <v>44104</v>
      </c>
      <c r="B28" s="3">
        <v>63283318.960000001</v>
      </c>
      <c r="C28" s="3">
        <v>-124748.61</v>
      </c>
      <c r="D28" s="4">
        <v>1.3314999999999999</v>
      </c>
      <c r="E28" s="3">
        <f>Table14[[#This Row],[USD Value]]*Table14[[#This Row],[USD/CAD]]</f>
        <v>84261739.195239991</v>
      </c>
      <c r="F28" s="3">
        <f>Table14[[#This Row],[Cashflow]]*Table14[[#This Row],[USD/CAD]]</f>
        <v>-166102.77421499998</v>
      </c>
      <c r="G28" s="3">
        <f>-(Table14[[#This Row],[CAD Cashflow]])</f>
        <v>166102.77421499998</v>
      </c>
    </row>
    <row r="29" spans="1:11" x14ac:dyDescent="0.2">
      <c r="A29" s="1">
        <v>44134</v>
      </c>
      <c r="B29" s="3">
        <v>61110652.009999998</v>
      </c>
      <c r="C29" s="3">
        <v>-134263.87</v>
      </c>
      <c r="D29" s="4">
        <v>1.333</v>
      </c>
      <c r="E29" s="3">
        <f>Table14[[#This Row],[USD Value]]*Table14[[#This Row],[USD/CAD]]</f>
        <v>81460499.129329994</v>
      </c>
      <c r="F29" s="3">
        <f>Table14[[#This Row],[Cashflow]]*Table14[[#This Row],[USD/CAD]]</f>
        <v>-178973.73870999998</v>
      </c>
      <c r="G29" s="3">
        <f>-(Table14[[#This Row],[CAD Cashflow]])</f>
        <v>178973.73870999998</v>
      </c>
    </row>
    <row r="30" spans="1:11" x14ac:dyDescent="0.2">
      <c r="A30" s="1">
        <v>44165</v>
      </c>
      <c r="B30" s="3">
        <v>65743706.18</v>
      </c>
      <c r="C30" s="3">
        <v>-88947.65</v>
      </c>
      <c r="D30" s="4">
        <v>1.2975000000000001</v>
      </c>
      <c r="E30" s="3">
        <f>Table14[[#This Row],[USD Value]]*Table14[[#This Row],[USD/CAD]]</f>
        <v>85302458.768550009</v>
      </c>
      <c r="F30" s="3">
        <f>Table14[[#This Row],[Cashflow]]*Table14[[#This Row],[USD/CAD]]</f>
        <v>-115409.57587499999</v>
      </c>
      <c r="G30" s="3">
        <f>-(Table14[[#This Row],[CAD Cashflow]])</f>
        <v>115409.57587499999</v>
      </c>
    </row>
    <row r="31" spans="1:11" x14ac:dyDescent="0.2">
      <c r="A31" s="1">
        <v>44195</v>
      </c>
      <c r="B31" s="3">
        <v>67457259.060000002</v>
      </c>
      <c r="C31" s="3">
        <v>-140889.60999999999</v>
      </c>
      <c r="D31" s="4">
        <v>1.2735000000000001</v>
      </c>
      <c r="E31" s="3">
        <f>Table14[[#This Row],[USD Value]]*Table14[[#This Row],[USD/CAD]]</f>
        <v>85906819.412910014</v>
      </c>
      <c r="F31" s="3">
        <f>Table14[[#This Row],[Cashflow]]*Table14[[#This Row],[USD/CAD]]</f>
        <v>-179422.91833499999</v>
      </c>
      <c r="G31" s="3">
        <f>-(Table14[[#This Row],[CAD Cashflow]])</f>
        <v>179422.91833499999</v>
      </c>
    </row>
    <row r="32" spans="1:11" x14ac:dyDescent="0.2">
      <c r="A32" s="1">
        <v>44226</v>
      </c>
      <c r="B32" s="3">
        <v>67002650.439999998</v>
      </c>
      <c r="C32" s="3">
        <v>-106684.02</v>
      </c>
      <c r="D32" s="4">
        <v>1.278</v>
      </c>
      <c r="E32" s="3">
        <f>Table14[[#This Row],[USD Value]]*Table14[[#This Row],[USD/CAD]]</f>
        <v>85629387.262319997</v>
      </c>
      <c r="F32" s="3">
        <f>Table14[[#This Row],[Cashflow]]*Table14[[#This Row],[USD/CAD]]</f>
        <v>-136342.17756000001</v>
      </c>
      <c r="G32" s="3">
        <f>-(Table14[[#This Row],[CAD Cashflow]])</f>
        <v>136342.17756000001</v>
      </c>
    </row>
    <row r="33" spans="1:7" x14ac:dyDescent="0.2">
      <c r="A33" s="1">
        <v>44255</v>
      </c>
      <c r="B33" s="3">
        <v>67536436.75</v>
      </c>
      <c r="C33" s="3">
        <v>-92985.15</v>
      </c>
      <c r="D33" s="4">
        <v>1.2715000000000001</v>
      </c>
      <c r="E33" s="3">
        <f>Table14[[#This Row],[USD Value]]*Table14[[#This Row],[USD/CAD]]</f>
        <v>85872579.327625006</v>
      </c>
      <c r="F33" s="3">
        <f>Table14[[#This Row],[Cashflow]]*Table14[[#This Row],[USD/CAD]]</f>
        <v>-118230.618225</v>
      </c>
      <c r="G33" s="3">
        <f>-(Table14[[#This Row],[CAD Cashflow]])</f>
        <v>118230.618225</v>
      </c>
    </row>
    <row r="34" spans="1:7" x14ac:dyDescent="0.2">
      <c r="A34" s="1">
        <v>44285</v>
      </c>
      <c r="B34" s="3">
        <v>70725583.609999999</v>
      </c>
      <c r="C34" s="3">
        <v>-124727.36</v>
      </c>
      <c r="D34" s="4">
        <v>1.2575000000000001</v>
      </c>
      <c r="E34" s="3">
        <f>Table14[[#This Row],[USD Value]]*Table14[[#This Row],[USD/CAD]]</f>
        <v>88937421.389575005</v>
      </c>
      <c r="F34" s="3">
        <f>Table14[[#This Row],[Cashflow]]*Table14[[#This Row],[USD/CAD]]</f>
        <v>-156844.65520000001</v>
      </c>
      <c r="G34" s="3">
        <f>-(Table14[[#This Row],[CAD Cashflow]])</f>
        <v>156844.65520000001</v>
      </c>
    </row>
    <row r="35" spans="1:7" x14ac:dyDescent="0.2">
      <c r="A35" s="1">
        <v>44316</v>
      </c>
      <c r="B35" s="3">
        <v>72298346.310000002</v>
      </c>
      <c r="C35" s="3">
        <v>-102574.69</v>
      </c>
      <c r="D35" s="4">
        <v>1.2290000000000001</v>
      </c>
      <c r="E35" s="3">
        <f>Table14[[#This Row],[USD Value]]*Table14[[#This Row],[USD/CAD]]</f>
        <v>88854667.614990011</v>
      </c>
      <c r="F35" s="3">
        <f>Table14[[#This Row],[Cashflow]]*Table14[[#This Row],[USD/CAD]]</f>
        <v>-126064.29401000001</v>
      </c>
      <c r="G35" s="3">
        <f>-(Table14[[#This Row],[CAD Cashflow]])</f>
        <v>126064.29401000001</v>
      </c>
    </row>
    <row r="36" spans="1:7" x14ac:dyDescent="0.2">
      <c r="A36" s="1">
        <v>44346</v>
      </c>
      <c r="B36" s="3">
        <v>72911446.159999996</v>
      </c>
      <c r="C36" s="3">
        <f>-129081-830151.09</f>
        <v>-959232.09</v>
      </c>
      <c r="D36" s="4">
        <v>1.206</v>
      </c>
      <c r="E36" s="3">
        <f>Table14[[#This Row],[USD Value]]*Table14[[#This Row],[USD/CAD]]</f>
        <v>87931204.068959996</v>
      </c>
      <c r="F36" s="3">
        <f>Table14[[#This Row],[Cashflow]]*Table14[[#This Row],[USD/CAD]]</f>
        <v>-1156833.9005399998</v>
      </c>
      <c r="G36" s="3">
        <f>-(Table14[[#This Row],[CAD Cashflow]])</f>
        <v>1156833.9005399998</v>
      </c>
    </row>
    <row r="37" spans="1:7" x14ac:dyDescent="0.2">
      <c r="A37" s="1">
        <v>44377</v>
      </c>
      <c r="B37" s="3">
        <v>73085795.049999997</v>
      </c>
      <c r="C37" s="3">
        <v>-129967.79</v>
      </c>
      <c r="D37" s="4">
        <v>1.2404999999999999</v>
      </c>
      <c r="E37" s="3">
        <f>Table14[[#This Row],[USD Value]]*Table14[[#This Row],[USD/CAD]]</f>
        <v>90662928.759524986</v>
      </c>
      <c r="F37" s="3">
        <f>Table14[[#This Row],[Cashflow]]*Table14[[#This Row],[USD/CAD]]</f>
        <v>-161225.04349499999</v>
      </c>
      <c r="G37" s="3">
        <f>-(Table14[[#This Row],[CAD Cashflow]])</f>
        <v>161225.04349499999</v>
      </c>
    </row>
    <row r="38" spans="1:7" x14ac:dyDescent="0.2">
      <c r="A38" s="1">
        <v>44407</v>
      </c>
      <c r="B38" s="3">
        <v>75161174.319999993</v>
      </c>
      <c r="C38" s="3">
        <v>-124700.62</v>
      </c>
      <c r="D38" s="4">
        <v>1.2475000000000001</v>
      </c>
      <c r="E38" s="3">
        <f>Table14[[#This Row],[USD Value]]*Table14[[#This Row],[USD/CAD]]</f>
        <v>93763564.96419999</v>
      </c>
      <c r="F38" s="3">
        <f>Table14[[#This Row],[Cashflow]]*Table14[[#This Row],[USD/CAD]]</f>
        <v>-155564.02345000001</v>
      </c>
      <c r="G38" s="3">
        <f>-(Table14[[#This Row],[CAD Cashflow]])</f>
        <v>155564.02345000001</v>
      </c>
    </row>
    <row r="39" spans="1:7" x14ac:dyDescent="0.2">
      <c r="A39" s="1">
        <v>44438</v>
      </c>
      <c r="B39" s="3">
        <v>75978502.730000004</v>
      </c>
      <c r="C39" s="3">
        <v>-96186</v>
      </c>
      <c r="D39" s="4">
        <v>1.2615000000000001</v>
      </c>
      <c r="E39" s="3">
        <f>Table14[[#This Row],[USD Value]]*Table14[[#This Row],[USD/CAD]]</f>
        <v>95846881.193895012</v>
      </c>
      <c r="F39" s="3">
        <f>Table14[[#This Row],[Cashflow]]*Table14[[#This Row],[USD/CAD]]</f>
        <v>-121338.63900000001</v>
      </c>
      <c r="G39" s="3">
        <f>-(Table14[[#This Row],[CAD Cashflow]])</f>
        <v>121338.63900000001</v>
      </c>
    </row>
    <row r="40" spans="1:7" x14ac:dyDescent="0.2">
      <c r="A40" s="1">
        <v>44469</v>
      </c>
      <c r="B40" s="3">
        <v>72490643.599999994</v>
      </c>
      <c r="C40" s="3">
        <v>-134696.34</v>
      </c>
      <c r="D40" s="4">
        <v>1.2655000000000001</v>
      </c>
      <c r="E40" s="3">
        <f>Table14[[#This Row],[USD Value]]*Table14[[#This Row],[USD/CAD]]</f>
        <v>91736909.475799993</v>
      </c>
      <c r="F40" s="3">
        <f>Table14[[#This Row],[Cashflow]]*Table14[[#This Row],[USD/CAD]]</f>
        <v>-170458.21827000001</v>
      </c>
      <c r="G40" s="3">
        <f>-(Table14[[#This Row],[CAD Cashflow]])</f>
        <v>170458.21827000001</v>
      </c>
    </row>
    <row r="41" spans="1:7" x14ac:dyDescent="0.2">
      <c r="A41" s="1">
        <v>44499</v>
      </c>
      <c r="B41" s="3">
        <v>76131734.450000003</v>
      </c>
      <c r="C41" s="3">
        <v>-141910.48000000001</v>
      </c>
      <c r="D41" s="4">
        <v>1.2384999999999999</v>
      </c>
      <c r="E41" s="3">
        <f>Table14[[#This Row],[USD Value]]*Table14[[#This Row],[USD/CAD]]</f>
        <v>94289153.116325006</v>
      </c>
      <c r="F41" s="3">
        <f>Table14[[#This Row],[Cashflow]]*Table14[[#This Row],[USD/CAD]]</f>
        <v>-175756.12948</v>
      </c>
      <c r="G41" s="3">
        <f>-(Table14[[#This Row],[CAD Cashflow]])</f>
        <v>175756.12948</v>
      </c>
    </row>
    <row r="42" spans="1:7" x14ac:dyDescent="0.2">
      <c r="A42" s="1">
        <v>44530</v>
      </c>
      <c r="B42" s="3">
        <v>72243557.829999998</v>
      </c>
      <c r="C42" s="3">
        <v>-97886</v>
      </c>
      <c r="D42" s="4">
        <v>1.2775000000000001</v>
      </c>
      <c r="E42" s="3">
        <f>Table14[[#This Row],[USD Value]]*Table14[[#This Row],[USD/CAD]]</f>
        <v>92291145.127825007</v>
      </c>
      <c r="F42" s="3">
        <f>Table14[[#This Row],[Cashflow]]*Table14[[#This Row],[USD/CAD]]</f>
        <v>-125049.36500000001</v>
      </c>
      <c r="G42" s="3">
        <f>-(Table14[[#This Row],[CAD Cashflow]])</f>
        <v>125049.36500000001</v>
      </c>
    </row>
    <row r="43" spans="1:7" x14ac:dyDescent="0.2">
      <c r="A43" s="1">
        <v>44560</v>
      </c>
      <c r="B43" s="3">
        <v>77927531.900000006</v>
      </c>
      <c r="C43" s="3">
        <v>-151803.10999999999</v>
      </c>
      <c r="D43" s="4">
        <v>1.2645</v>
      </c>
      <c r="E43" s="3">
        <f>Table14[[#This Row],[USD Value]]*Table14[[#This Row],[USD/CAD]]</f>
        <v>98539364.087549999</v>
      </c>
      <c r="F43" s="3">
        <f>Table14[[#This Row],[Cashflow]]*Table14[[#This Row],[USD/CAD]]</f>
        <v>-191955.03259499997</v>
      </c>
      <c r="G43" s="3">
        <f>-(Table14[[#This Row],[CAD Cashflow]])</f>
        <v>191955.03259499997</v>
      </c>
    </row>
    <row r="44" spans="1:7" x14ac:dyDescent="0.2">
      <c r="A44" s="1">
        <v>44591</v>
      </c>
      <c r="B44" s="3">
        <v>76615902.769999996</v>
      </c>
      <c r="C44" s="3">
        <v>-78129.03</v>
      </c>
      <c r="D44" s="4">
        <v>1.27</v>
      </c>
      <c r="E44" s="3">
        <f>Table14[[#This Row],[USD Value]]*Table14[[#This Row],[USD/CAD]]</f>
        <v>97302196.51789999</v>
      </c>
      <c r="F44" s="3">
        <f>Table14[[#This Row],[Cashflow]]*Table14[[#This Row],[USD/CAD]]</f>
        <v>-99223.868100000007</v>
      </c>
      <c r="G44" s="3">
        <f>-(Table14[[#This Row],[CAD Cashflow]])</f>
        <v>99223.868100000007</v>
      </c>
    </row>
    <row r="45" spans="1:7" x14ac:dyDescent="0.2">
      <c r="A45" s="1">
        <v>44620</v>
      </c>
      <c r="B45" s="3">
        <v>74937881.069999993</v>
      </c>
      <c r="C45" s="3">
        <v>-100287.25</v>
      </c>
      <c r="D45" s="4">
        <v>1.2685</v>
      </c>
      <c r="E45" s="3">
        <f>Table14[[#This Row],[USD Value]]*Table14[[#This Row],[USD/CAD]]</f>
        <v>95058702.137294993</v>
      </c>
      <c r="F45" s="3">
        <f>Table14[[#This Row],[Cashflow]]*Table14[[#This Row],[USD/CAD]]</f>
        <v>-127214.37662499999</v>
      </c>
      <c r="G45" s="3">
        <f>-(Table14[[#This Row],[CAD Cashflow]])</f>
        <v>127214.37662499999</v>
      </c>
    </row>
    <row r="46" spans="1:7" x14ac:dyDescent="0.2">
      <c r="A46" s="1">
        <v>44650</v>
      </c>
      <c r="B46" s="3">
        <v>77430045.989999995</v>
      </c>
      <c r="C46" s="3">
        <v>-136067.16</v>
      </c>
      <c r="D46" s="4">
        <v>1.25</v>
      </c>
      <c r="E46" s="3">
        <f>Table14[[#This Row],[USD Value]]*Table14[[#This Row],[USD/CAD]]</f>
        <v>96787557.487499997</v>
      </c>
      <c r="F46" s="3">
        <f>Table14[[#This Row],[Cashflow]]*Table14[[#This Row],[USD/CAD]]</f>
        <v>-170083.95</v>
      </c>
      <c r="G46" s="3">
        <f>-(Table14[[#This Row],[CAD Cashflow]])</f>
        <v>170083.95</v>
      </c>
    </row>
    <row r="47" spans="1:7" x14ac:dyDescent="0.2">
      <c r="A47" s="1">
        <v>44681</v>
      </c>
      <c r="B47" s="3">
        <v>76173819.950000003</v>
      </c>
      <c r="C47" s="3">
        <v>-109895.19</v>
      </c>
      <c r="D47" s="4">
        <v>1.2849999999999999</v>
      </c>
      <c r="E47" s="3">
        <f>Table14[[#This Row],[USD Value]]*Table14[[#This Row],[USD/CAD]]</f>
        <v>97883358.635749996</v>
      </c>
      <c r="F47" s="3">
        <f>Table14[[#This Row],[Cashflow]]*Table14[[#This Row],[USD/CAD]]</f>
        <v>-141215.31915</v>
      </c>
      <c r="G47" s="3">
        <f>-(Table14[[#This Row],[CAD Cashflow]])</f>
        <v>141215.31915</v>
      </c>
    </row>
    <row r="48" spans="1:7" x14ac:dyDescent="0.2">
      <c r="A48" s="1">
        <v>44711</v>
      </c>
      <c r="B48" s="3">
        <v>77136779.349999994</v>
      </c>
      <c r="C48" s="3">
        <v>-102540.54</v>
      </c>
      <c r="D48" s="4">
        <v>1.2645</v>
      </c>
      <c r="E48" s="3">
        <f>Table14[[#This Row],[USD Value]]*Table14[[#This Row],[USD/CAD]]</f>
        <v>97539457.488074988</v>
      </c>
      <c r="F48" s="3">
        <f>Table14[[#This Row],[Cashflow]]*Table14[[#This Row],[USD/CAD]]</f>
        <v>-129662.51282999999</v>
      </c>
      <c r="G48" s="3">
        <f>-(Table14[[#This Row],[CAD Cashflow]])</f>
        <v>129662.51282999999</v>
      </c>
    </row>
    <row r="49" spans="1:7" x14ac:dyDescent="0.2">
      <c r="A49" s="1">
        <v>44742</v>
      </c>
      <c r="B49" s="3">
        <v>74265487.620000005</v>
      </c>
      <c r="C49" s="3">
        <v>-6375</v>
      </c>
      <c r="D49" s="4">
        <v>1.2875000000000001</v>
      </c>
      <c r="E49" s="3">
        <f>Table14[[#This Row],[USD Value]]*Table14[[#This Row],[USD/CAD]]</f>
        <v>95616815.310750008</v>
      </c>
      <c r="F49" s="3">
        <f>Table14[[#This Row],[Cashflow]]*Table14[[#This Row],[USD/CAD]]</f>
        <v>-8207.8125</v>
      </c>
      <c r="G49" s="3">
        <f>-(Table14[[#This Row],[CAD Cashflow]])</f>
        <v>8207.8125</v>
      </c>
    </row>
    <row r="50" spans="1:7" x14ac:dyDescent="0.2">
      <c r="A50" s="1">
        <v>44772</v>
      </c>
      <c r="B50" s="3">
        <v>76154781.159999996</v>
      </c>
      <c r="C50" s="3">
        <v>0</v>
      </c>
      <c r="D50" s="4">
        <v>1.2795000000000001</v>
      </c>
      <c r="E50" s="3">
        <f>Table14[[#This Row],[USD Value]]*Table14[[#This Row],[USD/CAD]]</f>
        <v>97440042.494220003</v>
      </c>
      <c r="F50" s="3">
        <f>Table14[[#This Row],[Cashflow]]*Table14[[#This Row],[USD/CAD]]</f>
        <v>0</v>
      </c>
      <c r="G50" s="3">
        <f>-(Table14[[#This Row],[CAD Cashflow]])</f>
        <v>0</v>
      </c>
    </row>
    <row r="51" spans="1:7" x14ac:dyDescent="0.2">
      <c r="A51" s="1">
        <v>44803</v>
      </c>
      <c r="B51" s="3">
        <v>72969164.359999999</v>
      </c>
      <c r="C51" s="3">
        <v>0</v>
      </c>
      <c r="D51" s="4">
        <v>1.3140000000000001</v>
      </c>
      <c r="E51" s="3">
        <f>Table14[[#This Row],[USD Value]]*Table14[[#This Row],[USD/CAD]]</f>
        <v>95881481.969040006</v>
      </c>
      <c r="F51" s="3">
        <f>Table14[[#This Row],[Cashflow]]*Table14[[#This Row],[USD/CAD]]</f>
        <v>0</v>
      </c>
      <c r="G51" s="3">
        <f>-(Table14[[#This Row],[CAD Cashflow]])</f>
        <v>0</v>
      </c>
    </row>
    <row r="52" spans="1:7" x14ac:dyDescent="0.2">
      <c r="A52" s="1">
        <v>44834</v>
      </c>
      <c r="B52" s="3">
        <v>69178294.269999996</v>
      </c>
      <c r="C52" s="3">
        <v>0</v>
      </c>
      <c r="D52" s="4">
        <v>1.3825000000000001</v>
      </c>
      <c r="E52" s="3">
        <f>Table14[[#This Row],[USD Value]]*Table14[[#This Row],[USD/CAD]]</f>
        <v>95638991.828274995</v>
      </c>
      <c r="F52" s="3">
        <f>Table14[[#This Row],[Cashflow]]*Table14[[#This Row],[USD/CAD]]</f>
        <v>0</v>
      </c>
      <c r="G52" s="3">
        <f>-(Table14[[#This Row],[CAD Cashflow]])</f>
        <v>0</v>
      </c>
    </row>
    <row r="53" spans="1:7" x14ac:dyDescent="0.2">
      <c r="A53" s="1">
        <v>44864</v>
      </c>
      <c r="B53" s="3">
        <v>75406728.489999995</v>
      </c>
      <c r="C53" s="3">
        <v>0</v>
      </c>
      <c r="D53" s="4">
        <v>1.3620000000000001</v>
      </c>
      <c r="E53" s="3">
        <f>Table14[[#This Row],[USD Value]]*Table14[[#This Row],[USD/CAD]]</f>
        <v>102703964.20338</v>
      </c>
      <c r="F53" s="3">
        <f>Table14[[#This Row],[Cashflow]]*Table14[[#This Row],[USD/CAD]]</f>
        <v>0</v>
      </c>
      <c r="G53" s="3">
        <f>-(Table14[[#This Row],[CAD Cashflow]])</f>
        <v>0</v>
      </c>
    </row>
    <row r="54" spans="1:7" x14ac:dyDescent="0.2">
      <c r="A54" s="1">
        <v>44895</v>
      </c>
      <c r="B54" s="3">
        <v>79619152.609999999</v>
      </c>
      <c r="C54" s="3">
        <v>0</v>
      </c>
      <c r="D54" s="4">
        <v>1.3445</v>
      </c>
      <c r="E54" s="3">
        <f>Table14[[#This Row],[USD Value]]*Table14[[#This Row],[USD/CAD]]</f>
        <v>107047950.684145</v>
      </c>
      <c r="F54" s="3">
        <f>Table14[[#This Row],[Cashflow]]*Table14[[#This Row],[USD/CAD]]</f>
        <v>0</v>
      </c>
      <c r="G54" s="3">
        <f>-(Table14[[#This Row],[CAD Cashflow]])</f>
        <v>0</v>
      </c>
    </row>
    <row r="55" spans="1:7" x14ac:dyDescent="0.2">
      <c r="A55" s="1">
        <v>44925</v>
      </c>
      <c r="B55" s="3">
        <v>78411910.840000004</v>
      </c>
      <c r="C55" s="3">
        <f>-122920.36-512283.89</f>
        <v>-635204.25</v>
      </c>
      <c r="D55" s="4">
        <v>1.353</v>
      </c>
      <c r="E55" s="3">
        <f>Table14[[#This Row],[USD Value]]*Table14[[#This Row],[USD/CAD]]</f>
        <v>106091315.36652</v>
      </c>
      <c r="F55" s="3">
        <f>Table14[[#This Row],[Cashflow]]*Table14[[#This Row],[USD/CAD]]</f>
        <v>-859431.35025000002</v>
      </c>
      <c r="G55" s="3">
        <f>-(Table14[[#This Row],[CAD Cashflow]])</f>
        <v>859431.35025000002</v>
      </c>
    </row>
    <row r="56" spans="1:7" x14ac:dyDescent="0.2">
      <c r="A56" s="1"/>
      <c r="E56" s="3"/>
      <c r="F56" s="3"/>
      <c r="G56" s="3"/>
    </row>
    <row r="57" spans="1:7" x14ac:dyDescent="0.2">
      <c r="A57" s="1"/>
      <c r="E57" s="3"/>
      <c r="F57" s="3"/>
      <c r="G57" s="3"/>
    </row>
    <row r="58" spans="1:7" x14ac:dyDescent="0.2">
      <c r="A58" s="1"/>
      <c r="E58" s="3"/>
      <c r="F58" s="3"/>
      <c r="G58" s="3"/>
    </row>
    <row r="59" spans="1:7" x14ac:dyDescent="0.2">
      <c r="A59" s="1"/>
      <c r="E59" s="3"/>
      <c r="F59" s="3"/>
      <c r="G59" s="3"/>
    </row>
    <row r="60" spans="1:7" x14ac:dyDescent="0.2">
      <c r="A60" s="1"/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645FC-0618-40E0-96B5-C259B4A5B695}">
  <sheetPr codeName="Sheet4"/>
  <dimension ref="A1:H61"/>
  <sheetViews>
    <sheetView topLeftCell="C1" zoomScale="108" workbookViewId="0">
      <selection activeCell="G2" sqref="G2:H19"/>
    </sheetView>
  </sheetViews>
  <sheetFormatPr baseColWidth="10" defaultColWidth="8.83203125" defaultRowHeight="15" x14ac:dyDescent="0.2"/>
  <cols>
    <col min="1" max="1" width="13.5" customWidth="1"/>
    <col min="2" max="2" width="10.6640625" style="3" customWidth="1"/>
    <col min="3" max="3" width="14.6640625" style="12" customWidth="1"/>
    <col min="6" max="6" width="14" customWidth="1"/>
  </cols>
  <sheetData>
    <row r="1" spans="1:8" x14ac:dyDescent="0.2">
      <c r="A1" s="6" t="s">
        <v>0</v>
      </c>
      <c r="B1" s="5" t="s">
        <v>1</v>
      </c>
      <c r="C1" s="11" t="s">
        <v>2</v>
      </c>
      <c r="F1" s="18" t="s">
        <v>12</v>
      </c>
    </row>
    <row r="2" spans="1:8" x14ac:dyDescent="0.2">
      <c r="A2" s="1">
        <v>43311</v>
      </c>
      <c r="B2" s="9">
        <v>24.63</v>
      </c>
      <c r="C2" s="12">
        <v>0</v>
      </c>
      <c r="F2" s="20">
        <v>43373</v>
      </c>
      <c r="G2">
        <f ca="1">SUM(OFFSET($B$4,(ROW()-ROW($G$2))*3,0,1,1))</f>
        <v>23.94</v>
      </c>
      <c r="H2">
        <f ca="1">SUM(OFFSET($C$2,(ROW()-ROW($H$2))*3,0,3,1))</f>
        <v>0.17599999999999999</v>
      </c>
    </row>
    <row r="3" spans="1:8" x14ac:dyDescent="0.2">
      <c r="A3" s="1">
        <v>43342</v>
      </c>
      <c r="B3" s="9">
        <v>24.25</v>
      </c>
      <c r="C3" s="12">
        <v>0.17599999999999999</v>
      </c>
      <c r="F3" s="20">
        <v>43464</v>
      </c>
      <c r="G3">
        <f t="shared" ref="G3:G19" ca="1" si="0">SUM(OFFSET($B$4,(ROW()-ROW($G$2))*3,0,1,1))</f>
        <v>23</v>
      </c>
      <c r="H3">
        <f t="shared" ref="H3:H19" ca="1" si="1">SUM(OFFSET($C$2,(ROW()-ROW($H$2))*3,0,3,1))</f>
        <v>0.17799999999999999</v>
      </c>
    </row>
    <row r="4" spans="1:8" x14ac:dyDescent="0.2">
      <c r="A4" s="1">
        <v>43373</v>
      </c>
      <c r="B4" s="9">
        <v>23.94</v>
      </c>
      <c r="C4" s="12">
        <v>0</v>
      </c>
      <c r="F4" s="19">
        <v>43554</v>
      </c>
      <c r="G4">
        <f t="shared" ca="1" si="0"/>
        <v>24.16</v>
      </c>
      <c r="H4">
        <f t="shared" ca="1" si="1"/>
        <v>0.17899999999999999</v>
      </c>
    </row>
    <row r="5" spans="1:8" x14ac:dyDescent="0.2">
      <c r="A5" s="1">
        <v>43403</v>
      </c>
      <c r="B5" s="9">
        <v>21.62</v>
      </c>
      <c r="C5" s="12">
        <v>0.17799999999999999</v>
      </c>
      <c r="F5" s="20">
        <v>43646</v>
      </c>
      <c r="G5">
        <f t="shared" ca="1" si="0"/>
        <v>24.65</v>
      </c>
      <c r="H5">
        <f t="shared" ca="1" si="1"/>
        <v>0.18</v>
      </c>
    </row>
    <row r="6" spans="1:8" x14ac:dyDescent="0.2">
      <c r="A6" s="1">
        <v>43434</v>
      </c>
      <c r="B6" s="9">
        <v>23.36</v>
      </c>
      <c r="C6" s="12">
        <v>0</v>
      </c>
      <c r="F6" s="20">
        <v>43738</v>
      </c>
      <c r="G6">
        <f t="shared" ca="1" si="0"/>
        <v>25.15</v>
      </c>
      <c r="H6">
        <f t="shared" ca="1" si="1"/>
        <v>0.18099999999999999</v>
      </c>
    </row>
    <row r="7" spans="1:8" x14ac:dyDescent="0.2">
      <c r="A7" s="1">
        <v>43464</v>
      </c>
      <c r="B7" s="9">
        <v>23</v>
      </c>
      <c r="C7" s="12">
        <v>0</v>
      </c>
      <c r="F7" s="20">
        <v>43829</v>
      </c>
      <c r="G7">
        <f t="shared" ca="1" si="0"/>
        <v>25.56</v>
      </c>
      <c r="H7">
        <f t="shared" ca="1" si="1"/>
        <v>0.193</v>
      </c>
    </row>
    <row r="8" spans="1:8" x14ac:dyDescent="0.2">
      <c r="A8" s="1">
        <v>43495</v>
      </c>
      <c r="B8" s="9">
        <v>23.45</v>
      </c>
      <c r="C8" s="12">
        <v>0</v>
      </c>
      <c r="F8" s="19">
        <v>43920</v>
      </c>
      <c r="G8">
        <f t="shared" ca="1" si="0"/>
        <v>20.65</v>
      </c>
      <c r="H8">
        <f t="shared" ca="1" si="1"/>
        <v>0.19400000000000001</v>
      </c>
    </row>
    <row r="9" spans="1:8" x14ac:dyDescent="0.2">
      <c r="A9" s="1">
        <v>43524</v>
      </c>
      <c r="B9" s="9">
        <v>23.9</v>
      </c>
      <c r="C9" s="12">
        <v>0.17899999999999999</v>
      </c>
      <c r="F9" s="20">
        <v>44012</v>
      </c>
      <c r="G9">
        <f t="shared" ca="1" si="0"/>
        <v>23.55</v>
      </c>
      <c r="H9">
        <f t="shared" ca="1" si="1"/>
        <v>0.20699999999999999</v>
      </c>
    </row>
    <row r="10" spans="1:8" x14ac:dyDescent="0.2">
      <c r="A10" s="1">
        <v>43554</v>
      </c>
      <c r="B10" s="9">
        <v>24.16</v>
      </c>
      <c r="C10" s="12">
        <v>0</v>
      </c>
      <c r="F10" s="20">
        <v>44104</v>
      </c>
      <c r="G10">
        <f t="shared" ca="1" si="0"/>
        <v>24.38</v>
      </c>
      <c r="H10">
        <f t="shared" ca="1" si="1"/>
        <v>0.189</v>
      </c>
    </row>
    <row r="11" spans="1:8" x14ac:dyDescent="0.2">
      <c r="A11" s="1">
        <v>43585</v>
      </c>
      <c r="B11" s="9">
        <v>25.08</v>
      </c>
      <c r="C11" s="12">
        <v>0</v>
      </c>
      <c r="F11" s="20">
        <v>44195</v>
      </c>
      <c r="G11">
        <f t="shared" ca="1" si="0"/>
        <v>26.07</v>
      </c>
      <c r="H11">
        <f t="shared" ca="1" si="1"/>
        <v>0.19900000000000001</v>
      </c>
    </row>
    <row r="12" spans="1:8" x14ac:dyDescent="0.2">
      <c r="A12" s="1">
        <v>43615</v>
      </c>
      <c r="B12" s="9">
        <v>24.13</v>
      </c>
      <c r="C12" s="12">
        <v>0.18</v>
      </c>
      <c r="F12" s="19">
        <v>44285</v>
      </c>
      <c r="G12">
        <f t="shared" ca="1" si="0"/>
        <v>28.2</v>
      </c>
      <c r="H12">
        <f t="shared" ca="1" si="1"/>
        <v>0.19400000000000001</v>
      </c>
    </row>
    <row r="13" spans="1:8" x14ac:dyDescent="0.2">
      <c r="A13" s="1">
        <v>43646</v>
      </c>
      <c r="B13" s="9">
        <v>24.65</v>
      </c>
      <c r="C13" s="12">
        <v>0</v>
      </c>
      <c r="F13" s="20">
        <v>44377</v>
      </c>
      <c r="G13">
        <f t="shared" ca="1" si="0"/>
        <v>30.53</v>
      </c>
      <c r="H13">
        <f t="shared" ca="1" si="1"/>
        <v>0.19700000000000001</v>
      </c>
    </row>
    <row r="14" spans="1:8" x14ac:dyDescent="0.2">
      <c r="A14" s="1">
        <v>43676</v>
      </c>
      <c r="B14" s="9">
        <v>24.72</v>
      </c>
      <c r="C14" s="12">
        <v>0</v>
      </c>
      <c r="F14" s="20">
        <v>44469</v>
      </c>
      <c r="G14">
        <f t="shared" ca="1" si="0"/>
        <v>30.38</v>
      </c>
      <c r="H14">
        <f t="shared" ca="1" si="1"/>
        <v>0.20399999999999999</v>
      </c>
    </row>
    <row r="15" spans="1:8" x14ac:dyDescent="0.2">
      <c r="A15" s="1">
        <v>43707</v>
      </c>
      <c r="B15" s="9">
        <v>24.65</v>
      </c>
      <c r="C15" s="12">
        <v>0.18099999999999999</v>
      </c>
      <c r="F15" s="20">
        <v>44560</v>
      </c>
      <c r="G15">
        <f t="shared" ca="1" si="0"/>
        <v>32.520000000000003</v>
      </c>
      <c r="H15">
        <f t="shared" ca="1" si="1"/>
        <v>0.19600000000000001</v>
      </c>
    </row>
    <row r="16" spans="1:8" x14ac:dyDescent="0.2">
      <c r="A16" s="1">
        <v>43738</v>
      </c>
      <c r="B16" s="9">
        <v>25.15</v>
      </c>
      <c r="C16" s="12">
        <v>0</v>
      </c>
      <c r="F16" s="19">
        <v>44650</v>
      </c>
      <c r="G16">
        <f t="shared" ca="1" si="0"/>
        <v>33.479999999999997</v>
      </c>
      <c r="H16">
        <f t="shared" ca="1" si="1"/>
        <v>0.20799999999999999</v>
      </c>
    </row>
    <row r="17" spans="1:8" x14ac:dyDescent="0.2">
      <c r="A17" s="1">
        <v>43768</v>
      </c>
      <c r="B17" s="9">
        <v>24.89</v>
      </c>
      <c r="C17" s="12">
        <v>0</v>
      </c>
      <c r="F17" s="20">
        <v>44742</v>
      </c>
      <c r="G17">
        <f t="shared" ca="1" si="0"/>
        <v>29.01</v>
      </c>
      <c r="H17">
        <f t="shared" ca="1" si="1"/>
        <v>0.221</v>
      </c>
    </row>
    <row r="18" spans="1:8" x14ac:dyDescent="0.2">
      <c r="A18" s="1">
        <v>43799</v>
      </c>
      <c r="B18" s="9">
        <v>25.6</v>
      </c>
      <c r="C18" s="12">
        <v>0.193</v>
      </c>
      <c r="F18" s="20">
        <v>44834</v>
      </c>
      <c r="G18">
        <f t="shared" ca="1" si="0"/>
        <v>28.28</v>
      </c>
      <c r="H18">
        <f t="shared" ca="1" si="1"/>
        <v>0.23</v>
      </c>
    </row>
    <row r="19" spans="1:8" x14ac:dyDescent="0.2">
      <c r="A19" s="1">
        <v>43829</v>
      </c>
      <c r="B19" s="9">
        <v>25.56</v>
      </c>
      <c r="C19" s="12">
        <v>0</v>
      </c>
      <c r="F19" s="19">
        <v>44925</v>
      </c>
      <c r="G19">
        <f t="shared" ca="1" si="0"/>
        <v>29.59</v>
      </c>
      <c r="H19">
        <f t="shared" ca="1" si="1"/>
        <v>0.23599999999999999</v>
      </c>
    </row>
    <row r="20" spans="1:8" x14ac:dyDescent="0.2">
      <c r="A20" s="1">
        <v>43860</v>
      </c>
      <c r="B20" s="9">
        <v>26.08</v>
      </c>
      <c r="C20" s="12">
        <v>0</v>
      </c>
    </row>
    <row r="21" spans="1:8" x14ac:dyDescent="0.2">
      <c r="A21" s="1">
        <v>43889</v>
      </c>
      <c r="B21" s="9">
        <v>24.48</v>
      </c>
      <c r="C21" s="12">
        <v>0.19400000000000001</v>
      </c>
    </row>
    <row r="22" spans="1:8" x14ac:dyDescent="0.2">
      <c r="A22" s="1">
        <v>43920</v>
      </c>
      <c r="B22" s="9">
        <v>20.65</v>
      </c>
      <c r="C22" s="12">
        <v>0</v>
      </c>
      <c r="F22" s="20"/>
    </row>
    <row r="23" spans="1:8" x14ac:dyDescent="0.2">
      <c r="A23" s="1">
        <v>43951</v>
      </c>
      <c r="B23" s="9">
        <v>22.57</v>
      </c>
      <c r="C23" s="12">
        <v>0</v>
      </c>
    </row>
    <row r="24" spans="1:8" x14ac:dyDescent="0.2">
      <c r="A24" s="1">
        <v>43981</v>
      </c>
      <c r="B24" s="9">
        <v>23</v>
      </c>
      <c r="C24" s="12">
        <v>0.20699999999999999</v>
      </c>
    </row>
    <row r="25" spans="1:8" x14ac:dyDescent="0.2">
      <c r="A25" s="1">
        <v>44012</v>
      </c>
      <c r="B25" s="9">
        <v>23.55</v>
      </c>
      <c r="C25" s="12">
        <v>0</v>
      </c>
    </row>
    <row r="26" spans="1:8" x14ac:dyDescent="0.2">
      <c r="A26" s="1">
        <v>44042</v>
      </c>
      <c r="B26" s="9">
        <v>24.52</v>
      </c>
      <c r="C26" s="12">
        <v>0</v>
      </c>
    </row>
    <row r="27" spans="1:8" x14ac:dyDescent="0.2">
      <c r="A27" s="1">
        <v>44073</v>
      </c>
      <c r="B27" s="9">
        <v>24.88</v>
      </c>
      <c r="C27" s="12">
        <v>0.189</v>
      </c>
    </row>
    <row r="28" spans="1:8" x14ac:dyDescent="0.2">
      <c r="A28" s="1">
        <v>44104</v>
      </c>
      <c r="B28" s="9">
        <v>24.38</v>
      </c>
      <c r="C28" s="12">
        <v>0</v>
      </c>
    </row>
    <row r="29" spans="1:8" x14ac:dyDescent="0.2">
      <c r="A29" s="1">
        <v>44134</v>
      </c>
      <c r="B29" s="9">
        <v>23.53</v>
      </c>
      <c r="C29" s="12">
        <v>0</v>
      </c>
    </row>
    <row r="30" spans="1:8" x14ac:dyDescent="0.2">
      <c r="A30" s="1">
        <v>44165</v>
      </c>
      <c r="B30" s="9">
        <v>25.83</v>
      </c>
      <c r="C30" s="12">
        <v>0.19900000000000001</v>
      </c>
    </row>
    <row r="31" spans="1:8" x14ac:dyDescent="0.2">
      <c r="A31" s="1">
        <v>44195</v>
      </c>
      <c r="B31" s="9">
        <v>26.07</v>
      </c>
      <c r="C31" s="12">
        <v>0</v>
      </c>
    </row>
    <row r="32" spans="1:8" x14ac:dyDescent="0.2">
      <c r="A32" s="1">
        <v>44226</v>
      </c>
      <c r="B32" s="9">
        <v>26.02</v>
      </c>
      <c r="C32" s="12">
        <v>0</v>
      </c>
    </row>
    <row r="33" spans="1:3" x14ac:dyDescent="0.2">
      <c r="A33" s="1">
        <v>44255</v>
      </c>
      <c r="B33" s="9">
        <v>26.97</v>
      </c>
      <c r="C33" s="12">
        <v>0.19400000000000001</v>
      </c>
    </row>
    <row r="34" spans="1:3" x14ac:dyDescent="0.2">
      <c r="A34" s="1">
        <v>44285</v>
      </c>
      <c r="B34" s="9">
        <v>28.2</v>
      </c>
      <c r="C34" s="12">
        <v>0</v>
      </c>
    </row>
    <row r="35" spans="1:3" x14ac:dyDescent="0.2">
      <c r="A35" s="1">
        <v>44316</v>
      </c>
      <c r="B35" s="9">
        <v>28.85</v>
      </c>
      <c r="C35" s="12">
        <v>0</v>
      </c>
    </row>
    <row r="36" spans="1:3" x14ac:dyDescent="0.2">
      <c r="A36" s="1">
        <v>44346</v>
      </c>
      <c r="B36" s="9">
        <v>29.74</v>
      </c>
      <c r="C36" s="12">
        <v>0.19700000000000001</v>
      </c>
    </row>
    <row r="37" spans="1:3" x14ac:dyDescent="0.2">
      <c r="A37" s="1">
        <v>44377</v>
      </c>
      <c r="B37" s="9">
        <v>30.53</v>
      </c>
      <c r="C37" s="12">
        <v>0</v>
      </c>
    </row>
    <row r="38" spans="1:3" x14ac:dyDescent="0.2">
      <c r="A38" s="1">
        <v>44407</v>
      </c>
      <c r="B38" s="9">
        <v>30.79</v>
      </c>
      <c r="C38" s="12">
        <v>0</v>
      </c>
    </row>
    <row r="39" spans="1:3" x14ac:dyDescent="0.2">
      <c r="A39" s="1">
        <v>44438</v>
      </c>
      <c r="B39" s="9">
        <v>30.98</v>
      </c>
      <c r="C39" s="12">
        <v>0.20399999999999999</v>
      </c>
    </row>
    <row r="40" spans="1:3" x14ac:dyDescent="0.2">
      <c r="A40" s="1">
        <v>44469</v>
      </c>
      <c r="B40" s="9">
        <v>30.38</v>
      </c>
      <c r="C40" s="12">
        <v>0</v>
      </c>
    </row>
    <row r="41" spans="1:3" x14ac:dyDescent="0.2">
      <c r="A41" s="1">
        <v>44499</v>
      </c>
      <c r="B41" s="9">
        <v>32.04</v>
      </c>
      <c r="C41" s="12">
        <v>0</v>
      </c>
    </row>
    <row r="42" spans="1:3" x14ac:dyDescent="0.2">
      <c r="A42" s="1">
        <v>44530</v>
      </c>
      <c r="B42" s="9">
        <v>31.53</v>
      </c>
      <c r="C42" s="12">
        <v>0.19600000000000001</v>
      </c>
    </row>
    <row r="43" spans="1:3" x14ac:dyDescent="0.2">
      <c r="A43" s="1">
        <v>44560</v>
      </c>
      <c r="B43" s="9">
        <v>32.520000000000003</v>
      </c>
      <c r="C43" s="12">
        <v>0</v>
      </c>
    </row>
    <row r="44" spans="1:3" x14ac:dyDescent="0.2">
      <c r="A44" s="1">
        <v>44591</v>
      </c>
      <c r="B44" s="9">
        <v>32.44</v>
      </c>
      <c r="C44" s="12">
        <v>0</v>
      </c>
    </row>
    <row r="45" spans="1:3" x14ac:dyDescent="0.2">
      <c r="A45" s="1">
        <v>44620</v>
      </c>
      <c r="B45" s="9">
        <v>32.21</v>
      </c>
      <c r="C45" s="12">
        <v>0.20799999999999999</v>
      </c>
    </row>
    <row r="46" spans="1:3" x14ac:dyDescent="0.2">
      <c r="A46" s="1">
        <v>44650</v>
      </c>
      <c r="B46" s="9">
        <v>33.479999999999997</v>
      </c>
      <c r="C46" s="12">
        <v>0</v>
      </c>
    </row>
    <row r="47" spans="1:3" x14ac:dyDescent="0.2">
      <c r="A47" s="1">
        <v>44681</v>
      </c>
      <c r="B47" s="9">
        <v>31.8</v>
      </c>
      <c r="C47" s="12">
        <v>0</v>
      </c>
    </row>
    <row r="48" spans="1:3" x14ac:dyDescent="0.2">
      <c r="A48" s="1">
        <v>44711</v>
      </c>
      <c r="B48" s="9">
        <v>31.61</v>
      </c>
      <c r="C48" s="12">
        <v>0.221</v>
      </c>
    </row>
    <row r="49" spans="1:3" x14ac:dyDescent="0.2">
      <c r="A49" s="1">
        <v>44742</v>
      </c>
      <c r="B49" s="9">
        <v>29.01</v>
      </c>
      <c r="C49" s="12">
        <v>0</v>
      </c>
    </row>
    <row r="50" spans="1:3" x14ac:dyDescent="0.2">
      <c r="A50" s="1">
        <v>44772</v>
      </c>
      <c r="B50" s="9">
        <v>30.13</v>
      </c>
      <c r="C50" s="12">
        <v>0</v>
      </c>
    </row>
    <row r="51" spans="1:3" x14ac:dyDescent="0.2">
      <c r="A51" s="1">
        <v>44803</v>
      </c>
      <c r="B51" s="9">
        <v>29.41</v>
      </c>
      <c r="C51" s="12">
        <v>0.23</v>
      </c>
    </row>
    <row r="52" spans="1:3" x14ac:dyDescent="0.2">
      <c r="A52" s="1">
        <v>44834</v>
      </c>
      <c r="B52" s="9">
        <v>28.28</v>
      </c>
      <c r="C52" s="12">
        <v>0</v>
      </c>
    </row>
    <row r="53" spans="1:3" x14ac:dyDescent="0.2">
      <c r="A53" s="1">
        <v>44864</v>
      </c>
      <c r="B53" s="9">
        <v>29.86</v>
      </c>
      <c r="C53" s="12">
        <v>0</v>
      </c>
    </row>
    <row r="54" spans="1:3" x14ac:dyDescent="0.2">
      <c r="A54" s="1">
        <v>44895</v>
      </c>
      <c r="B54" s="9">
        <v>31.26</v>
      </c>
      <c r="C54" s="12">
        <v>0.23599999999999999</v>
      </c>
    </row>
    <row r="55" spans="1:3" x14ac:dyDescent="0.2">
      <c r="A55" s="1">
        <v>44925</v>
      </c>
      <c r="B55" s="9">
        <v>29.59</v>
      </c>
      <c r="C55" s="12">
        <v>0</v>
      </c>
    </row>
    <row r="56" spans="1:3" x14ac:dyDescent="0.2">
      <c r="A56" s="1"/>
      <c r="B56" s="9"/>
    </row>
    <row r="57" spans="1:3" x14ac:dyDescent="0.2">
      <c r="A57" s="1"/>
      <c r="B57" s="9"/>
    </row>
    <row r="58" spans="1:3" x14ac:dyDescent="0.2">
      <c r="A58" s="1"/>
      <c r="B58" s="9"/>
    </row>
    <row r="59" spans="1:3" x14ac:dyDescent="0.2">
      <c r="A59" s="1"/>
      <c r="B59" s="9"/>
    </row>
    <row r="60" spans="1:3" x14ac:dyDescent="0.2">
      <c r="A60" s="1"/>
      <c r="B60" s="9"/>
    </row>
    <row r="61" spans="1:3" x14ac:dyDescent="0.2">
      <c r="A61" s="1"/>
      <c r="B61" s="9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4E3D8-C661-425A-8904-E85BA22723AB}">
  <sheetPr codeName="Sheet5"/>
  <dimension ref="A1:J61"/>
  <sheetViews>
    <sheetView zoomScale="82" workbookViewId="0">
      <selection activeCell="I2" sqref="I2:J19"/>
    </sheetView>
  </sheetViews>
  <sheetFormatPr baseColWidth="10" defaultColWidth="13.6640625" defaultRowHeight="15" x14ac:dyDescent="0.2"/>
  <cols>
    <col min="2" max="2" width="13.6640625" style="2"/>
    <col min="4" max="4" width="13.6640625" style="4"/>
    <col min="5" max="6" width="13.6640625" style="12"/>
    <col min="8" max="8" width="14" customWidth="1"/>
  </cols>
  <sheetData>
    <row r="1" spans="1:10" x14ac:dyDescent="0.2">
      <c r="A1" s="6" t="s">
        <v>0</v>
      </c>
      <c r="B1" s="5" t="s">
        <v>4</v>
      </c>
      <c r="C1" s="11" t="s">
        <v>2</v>
      </c>
      <c r="D1" s="7" t="s">
        <v>3</v>
      </c>
      <c r="E1" s="11" t="s">
        <v>8</v>
      </c>
      <c r="F1" s="11" t="s">
        <v>9</v>
      </c>
      <c r="H1" s="18" t="s">
        <v>12</v>
      </c>
    </row>
    <row r="2" spans="1:10" x14ac:dyDescent="0.2">
      <c r="A2" s="1">
        <v>43311</v>
      </c>
      <c r="B2" s="8">
        <v>281.33</v>
      </c>
      <c r="C2">
        <v>0</v>
      </c>
      <c r="D2" s="4">
        <v>1.3</v>
      </c>
      <c r="E2" s="12">
        <f>Table145[[#This Row],[USD Value]]*Table145[[#This Row],[USD/CAD]]</f>
        <v>365.72899999999998</v>
      </c>
      <c r="F2" s="12">
        <f>Table145[[#This Row],[Cashflow]]*Table145[[#This Row],[USD/CAD]]</f>
        <v>0</v>
      </c>
      <c r="H2" s="20">
        <v>43373</v>
      </c>
      <c r="I2">
        <f t="shared" ref="I2:I19" ca="1" si="0">SUM(OFFSET($E$4,(ROW()-ROW($I$2))*3,0,1,1))</f>
        <v>375.69745600000005</v>
      </c>
      <c r="J2">
        <f ca="1">SUM(OFFSET($F$2,(ROW()-ROW($J$2))*3,0,3,1))</f>
        <v>1.7097129</v>
      </c>
    </row>
    <row r="3" spans="1:10" x14ac:dyDescent="0.2">
      <c r="A3" s="1">
        <v>43342</v>
      </c>
      <c r="B3" s="8">
        <v>290.31</v>
      </c>
      <c r="C3">
        <v>0</v>
      </c>
      <c r="D3" s="4">
        <v>1.306</v>
      </c>
      <c r="E3" s="12">
        <f>Table145[[#This Row],[USD Value]]*Table145[[#This Row],[USD/CAD]]</f>
        <v>379.14485999999999</v>
      </c>
      <c r="F3" s="12">
        <f>Table145[[#This Row],[Cashflow]]*Table145[[#This Row],[USD/CAD]]</f>
        <v>0</v>
      </c>
      <c r="H3" s="20">
        <v>43464</v>
      </c>
      <c r="I3">
        <f t="shared" ca="1" si="0"/>
        <v>341.14079999999996</v>
      </c>
      <c r="J3">
        <f t="shared" ref="J3:J19" ca="1" si="1">SUM(OFFSET($F$2,(ROW()-ROW($J$2))*3,0,3,1))</f>
        <v>1.9587750000000002</v>
      </c>
    </row>
    <row r="4" spans="1:10" x14ac:dyDescent="0.2">
      <c r="A4" s="1">
        <v>43373</v>
      </c>
      <c r="B4" s="8">
        <v>290.72000000000003</v>
      </c>
      <c r="C4">
        <v>1.323</v>
      </c>
      <c r="D4" s="4">
        <v>1.2923</v>
      </c>
      <c r="E4" s="12">
        <f>Table145[[#This Row],[USD Value]]*Table145[[#This Row],[USD/CAD]]</f>
        <v>375.69745600000005</v>
      </c>
      <c r="F4" s="12">
        <f>Table145[[#This Row],[Cashflow]]*Table145[[#This Row],[USD/CAD]]</f>
        <v>1.7097129</v>
      </c>
      <c r="H4" s="19">
        <v>43554</v>
      </c>
      <c r="I4">
        <f t="shared" ca="1" si="0"/>
        <v>377.53452000000004</v>
      </c>
      <c r="J4">
        <f t="shared" ca="1" si="1"/>
        <v>1.6479045000000001</v>
      </c>
    </row>
    <row r="5" spans="1:10" x14ac:dyDescent="0.2">
      <c r="A5" s="1">
        <v>43403</v>
      </c>
      <c r="B5" s="8">
        <v>270.63</v>
      </c>
      <c r="C5">
        <v>0</v>
      </c>
      <c r="D5" s="4">
        <v>1.3154999999999999</v>
      </c>
      <c r="E5" s="12">
        <f>Table145[[#This Row],[USD Value]]*Table145[[#This Row],[USD/CAD]]</f>
        <v>356.01376499999998</v>
      </c>
      <c r="F5" s="12">
        <f>Table145[[#This Row],[Cashflow]]*Table145[[#This Row],[USD/CAD]]</f>
        <v>0</v>
      </c>
      <c r="H5" s="20">
        <v>43646</v>
      </c>
      <c r="I5">
        <f t="shared" ca="1" si="0"/>
        <v>383.53699999999998</v>
      </c>
      <c r="J5">
        <f t="shared" ca="1" si="1"/>
        <v>1.8744879999999999</v>
      </c>
    </row>
    <row r="6" spans="1:10" x14ac:dyDescent="0.2">
      <c r="A6" s="1">
        <v>43434</v>
      </c>
      <c r="B6" s="8">
        <v>275.64999999999998</v>
      </c>
      <c r="C6">
        <v>0</v>
      </c>
      <c r="D6" s="4">
        <v>1.3302</v>
      </c>
      <c r="E6" s="12">
        <f>Table145[[#This Row],[USD Value]]*Table145[[#This Row],[USD/CAD]]</f>
        <v>366.66962999999998</v>
      </c>
      <c r="F6" s="12">
        <f>Table145[[#This Row],[Cashflow]]*Table145[[#This Row],[USD/CAD]]</f>
        <v>0</v>
      </c>
      <c r="H6" s="20">
        <v>43738</v>
      </c>
      <c r="I6">
        <f t="shared" ca="1" si="0"/>
        <v>392.92347999999998</v>
      </c>
      <c r="J6">
        <f t="shared" ca="1" si="1"/>
        <v>1.832416</v>
      </c>
    </row>
    <row r="7" spans="1:10" x14ac:dyDescent="0.2">
      <c r="A7" s="1">
        <v>43464</v>
      </c>
      <c r="B7" s="8">
        <v>249.92</v>
      </c>
      <c r="C7">
        <v>1.4350000000000001</v>
      </c>
      <c r="D7" s="4">
        <v>1.365</v>
      </c>
      <c r="E7" s="12">
        <f>Table145[[#This Row],[USD Value]]*Table145[[#This Row],[USD/CAD]]</f>
        <v>341.14079999999996</v>
      </c>
      <c r="F7" s="12">
        <f>Table145[[#This Row],[Cashflow]]*Table145[[#This Row],[USD/CAD]]</f>
        <v>1.9587750000000002</v>
      </c>
      <c r="H7" s="20">
        <v>43829</v>
      </c>
      <c r="I7">
        <f t="shared" ca="1" si="0"/>
        <v>417.77428000000003</v>
      </c>
      <c r="J7">
        <f t="shared" ca="1" si="1"/>
        <v>2.0378600000000002</v>
      </c>
    </row>
    <row r="8" spans="1:10" x14ac:dyDescent="0.2">
      <c r="A8" s="1">
        <v>43495</v>
      </c>
      <c r="B8" s="8">
        <v>269.93</v>
      </c>
      <c r="C8">
        <v>0</v>
      </c>
      <c r="D8" s="4">
        <v>1.3134999999999999</v>
      </c>
      <c r="E8" s="12">
        <f>Table145[[#This Row],[USD Value]]*Table145[[#This Row],[USD/CAD]]</f>
        <v>354.55305499999997</v>
      </c>
      <c r="F8" s="12">
        <f>Table145[[#This Row],[Cashflow]]*Table145[[#This Row],[USD/CAD]]</f>
        <v>0</v>
      </c>
      <c r="H8" s="19">
        <v>43920</v>
      </c>
      <c r="I8">
        <f t="shared" ca="1" si="0"/>
        <v>361.49437500000005</v>
      </c>
      <c r="J8">
        <f t="shared" ca="1" si="1"/>
        <v>1.9719150000000001</v>
      </c>
    </row>
    <row r="9" spans="1:10" x14ac:dyDescent="0.2">
      <c r="A9" s="1">
        <v>43524</v>
      </c>
      <c r="B9" s="8">
        <v>278.68</v>
      </c>
      <c r="C9">
        <v>0</v>
      </c>
      <c r="D9" s="4">
        <v>1.3149999999999999</v>
      </c>
      <c r="E9" s="12">
        <f>Table145[[#This Row],[USD Value]]*Table145[[#This Row],[USD/CAD]]</f>
        <v>366.46420000000001</v>
      </c>
      <c r="F9" s="12">
        <f>Table145[[#This Row],[Cashflow]]*Table145[[#This Row],[USD/CAD]]</f>
        <v>0</v>
      </c>
      <c r="H9" s="20">
        <v>44012</v>
      </c>
      <c r="I9">
        <f t="shared" ca="1" si="0"/>
        <v>418.75288000000006</v>
      </c>
      <c r="J9">
        <f t="shared" ca="1" si="1"/>
        <v>1.8550280000000003</v>
      </c>
    </row>
    <row r="10" spans="1:10" x14ac:dyDescent="0.2">
      <c r="A10" s="1">
        <v>43554</v>
      </c>
      <c r="B10" s="8">
        <v>282.48</v>
      </c>
      <c r="C10">
        <v>1.2330000000000001</v>
      </c>
      <c r="D10" s="4">
        <v>1.3365</v>
      </c>
      <c r="E10" s="12">
        <f>Table145[[#This Row],[USD Value]]*Table145[[#This Row],[USD/CAD]]</f>
        <v>377.53452000000004</v>
      </c>
      <c r="F10" s="12">
        <f>Table145[[#This Row],[Cashflow]]*Table145[[#This Row],[USD/CAD]]</f>
        <v>1.6479045000000001</v>
      </c>
      <c r="H10" s="20">
        <v>44104</v>
      </c>
      <c r="I10">
        <f t="shared" ca="1" si="0"/>
        <v>445.90603499999997</v>
      </c>
      <c r="J10">
        <f t="shared" ca="1" si="1"/>
        <v>1.7828784999999998</v>
      </c>
    </row>
    <row r="11" spans="1:10" x14ac:dyDescent="0.2">
      <c r="A11" s="1">
        <v>43585</v>
      </c>
      <c r="B11" s="8">
        <v>294.02</v>
      </c>
      <c r="C11">
        <v>0</v>
      </c>
      <c r="D11" s="4">
        <v>1.3385</v>
      </c>
      <c r="E11" s="12">
        <f>Table145[[#This Row],[USD Value]]*Table145[[#This Row],[USD/CAD]]</f>
        <v>393.54577</v>
      </c>
      <c r="F11" s="12">
        <f>Table145[[#This Row],[Cashflow]]*Table145[[#This Row],[USD/CAD]]</f>
        <v>0</v>
      </c>
      <c r="H11" s="20">
        <v>44195</v>
      </c>
      <c r="I11">
        <f t="shared" ca="1" si="0"/>
        <v>476.13618000000002</v>
      </c>
      <c r="J11">
        <f t="shared" ca="1" si="1"/>
        <v>2.0121300000000004</v>
      </c>
    </row>
    <row r="12" spans="1:10" x14ac:dyDescent="0.2">
      <c r="A12" s="1">
        <v>43615</v>
      </c>
      <c r="B12" s="8">
        <v>275.27</v>
      </c>
      <c r="C12">
        <v>0</v>
      </c>
      <c r="D12" s="4">
        <v>1.3525</v>
      </c>
      <c r="E12" s="12">
        <f>Table145[[#This Row],[USD Value]]*Table145[[#This Row],[USD/CAD]]</f>
        <v>372.30267499999997</v>
      </c>
      <c r="F12" s="12">
        <f>Table145[[#This Row],[Cashflow]]*Table145[[#This Row],[USD/CAD]]</f>
        <v>0</v>
      </c>
      <c r="H12" s="19">
        <v>44285</v>
      </c>
      <c r="I12">
        <f t="shared" ca="1" si="0"/>
        <v>498.384975</v>
      </c>
      <c r="J12">
        <f t="shared" ca="1" si="1"/>
        <v>1.6070850000000001</v>
      </c>
    </row>
    <row r="13" spans="1:10" x14ac:dyDescent="0.2">
      <c r="A13" s="1">
        <v>43646</v>
      </c>
      <c r="B13" s="8">
        <v>293</v>
      </c>
      <c r="C13">
        <v>1.4319999999999999</v>
      </c>
      <c r="D13" s="4">
        <v>1.3089999999999999</v>
      </c>
      <c r="E13" s="12">
        <f>Table145[[#This Row],[USD Value]]*Table145[[#This Row],[USD/CAD]]</f>
        <v>383.53699999999998</v>
      </c>
      <c r="F13" s="12">
        <f>Table145[[#This Row],[Cashflow]]*Table145[[#This Row],[USD/CAD]]</f>
        <v>1.8744879999999999</v>
      </c>
      <c r="H13" s="20">
        <v>44377</v>
      </c>
      <c r="I13">
        <f t="shared" ca="1" si="0"/>
        <v>531.00842999999998</v>
      </c>
      <c r="J13">
        <f t="shared" ca="1" si="1"/>
        <v>1.7069279999999998</v>
      </c>
    </row>
    <row r="14" spans="1:10" x14ac:dyDescent="0.2">
      <c r="A14" s="1">
        <v>43676</v>
      </c>
      <c r="B14" s="8">
        <v>297.43</v>
      </c>
      <c r="C14">
        <v>0</v>
      </c>
      <c r="D14" s="4">
        <v>1.32</v>
      </c>
      <c r="E14" s="12">
        <f>Table145[[#This Row],[USD Value]]*Table145[[#This Row],[USD/CAD]]</f>
        <v>392.60760000000005</v>
      </c>
      <c r="F14" s="12">
        <f>Table145[[#This Row],[Cashflow]]*Table145[[#This Row],[USD/CAD]]</f>
        <v>0</v>
      </c>
      <c r="H14" s="20">
        <v>44469</v>
      </c>
      <c r="I14">
        <f t="shared" ca="1" si="0"/>
        <v>543.07667000000004</v>
      </c>
      <c r="J14">
        <f t="shared" ca="1" si="1"/>
        <v>1.807134</v>
      </c>
    </row>
    <row r="15" spans="1:10" x14ac:dyDescent="0.2">
      <c r="A15" s="1">
        <v>43707</v>
      </c>
      <c r="B15" s="8">
        <v>292.45</v>
      </c>
      <c r="C15">
        <v>0</v>
      </c>
      <c r="D15" s="4">
        <v>1.3320000000000001</v>
      </c>
      <c r="E15" s="12">
        <f>Table145[[#This Row],[USD Value]]*Table145[[#This Row],[USD/CAD]]</f>
        <v>389.54340000000002</v>
      </c>
      <c r="F15" s="12">
        <f>Table145[[#This Row],[Cashflow]]*Table145[[#This Row],[USD/CAD]]</f>
        <v>0</v>
      </c>
      <c r="H15" s="20">
        <v>44560</v>
      </c>
      <c r="I15">
        <f t="shared" ca="1" si="0"/>
        <v>600.58691999999996</v>
      </c>
      <c r="J15">
        <f t="shared" ca="1" si="1"/>
        <v>2.0649284999999997</v>
      </c>
    </row>
    <row r="16" spans="1:10" x14ac:dyDescent="0.2">
      <c r="A16" s="1">
        <v>43738</v>
      </c>
      <c r="B16" s="8">
        <v>296.77</v>
      </c>
      <c r="C16">
        <v>1.3839999999999999</v>
      </c>
      <c r="D16" s="4">
        <v>1.3240000000000001</v>
      </c>
      <c r="E16" s="12">
        <f>Table145[[#This Row],[USD Value]]*Table145[[#This Row],[USD/CAD]]</f>
        <v>392.92347999999998</v>
      </c>
      <c r="F16" s="12">
        <f>Table145[[#This Row],[Cashflow]]*Table145[[#This Row],[USD/CAD]]</f>
        <v>1.832416</v>
      </c>
      <c r="H16" s="19">
        <v>44650</v>
      </c>
      <c r="I16">
        <f t="shared" ca="1" si="0"/>
        <v>564.54999999999995</v>
      </c>
      <c r="J16">
        <f t="shared" ca="1" si="1"/>
        <v>1.7075</v>
      </c>
    </row>
    <row r="17" spans="1:10" x14ac:dyDescent="0.2">
      <c r="A17" s="1">
        <v>43768</v>
      </c>
      <c r="B17" s="8">
        <v>303.33</v>
      </c>
      <c r="C17">
        <v>0</v>
      </c>
      <c r="D17" s="4">
        <v>1.3160000000000001</v>
      </c>
      <c r="E17" s="12">
        <f>Table145[[#This Row],[USD Value]]*Table145[[#This Row],[USD/CAD]]</f>
        <v>399.18227999999999</v>
      </c>
      <c r="F17" s="12">
        <f>Table145[[#This Row],[Cashflow]]*Table145[[#This Row],[USD/CAD]]</f>
        <v>0</v>
      </c>
      <c r="H17" s="20">
        <v>44742</v>
      </c>
      <c r="I17">
        <f t="shared" ca="1" si="0"/>
        <v>485.70937500000002</v>
      </c>
      <c r="J17">
        <f t="shared" ca="1" si="1"/>
        <v>2.0303875000000002</v>
      </c>
    </row>
    <row r="18" spans="1:10" x14ac:dyDescent="0.2">
      <c r="A18" s="1">
        <v>43799</v>
      </c>
      <c r="B18" s="8">
        <v>314.31</v>
      </c>
      <c r="C18">
        <v>0</v>
      </c>
      <c r="D18" s="4">
        <v>1.3280000000000001</v>
      </c>
      <c r="E18" s="12">
        <f>Table145[[#This Row],[USD Value]]*Table145[[#This Row],[USD/CAD]]</f>
        <v>417.40368000000001</v>
      </c>
      <c r="F18" s="12">
        <f>Table145[[#This Row],[Cashflow]]*Table145[[#This Row],[USD/CAD]]</f>
        <v>0</v>
      </c>
      <c r="H18" s="20">
        <v>44834</v>
      </c>
      <c r="I18">
        <f t="shared" ca="1" si="0"/>
        <v>493.80135000000001</v>
      </c>
      <c r="J18">
        <f t="shared" ca="1" si="1"/>
        <v>2.2064700000000004</v>
      </c>
    </row>
    <row r="19" spans="1:10" x14ac:dyDescent="0.2">
      <c r="A19" s="1">
        <v>43829</v>
      </c>
      <c r="B19" s="8">
        <v>321.86</v>
      </c>
      <c r="C19">
        <v>1.57</v>
      </c>
      <c r="D19" s="4">
        <v>1.298</v>
      </c>
      <c r="E19" s="12">
        <f>Table145[[#This Row],[USD Value]]*Table145[[#This Row],[USD/CAD]]</f>
        <v>417.77428000000003</v>
      </c>
      <c r="F19" s="12">
        <f>Table145[[#This Row],[Cashflow]]*Table145[[#This Row],[USD/CAD]]</f>
        <v>2.0378600000000002</v>
      </c>
      <c r="H19" s="19">
        <v>44925</v>
      </c>
      <c r="I19">
        <f t="shared" ca="1" si="0"/>
        <v>517.42778999999996</v>
      </c>
      <c r="J19">
        <f t="shared" ca="1" si="1"/>
        <v>2.4096929999999999</v>
      </c>
    </row>
    <row r="20" spans="1:10" x14ac:dyDescent="0.2">
      <c r="A20" s="1">
        <v>43860</v>
      </c>
      <c r="B20" s="8">
        <v>321.73</v>
      </c>
      <c r="C20">
        <v>0</v>
      </c>
      <c r="D20" s="4">
        <v>1.3234999999999999</v>
      </c>
      <c r="E20" s="12">
        <f>Table145[[#This Row],[USD Value]]*Table145[[#This Row],[USD/CAD]]</f>
        <v>425.80965499999996</v>
      </c>
      <c r="F20" s="12">
        <f>Table145[[#This Row],[Cashflow]]*Table145[[#This Row],[USD/CAD]]</f>
        <v>0</v>
      </c>
    </row>
    <row r="21" spans="1:10" x14ac:dyDescent="0.2">
      <c r="A21" s="1">
        <v>43889</v>
      </c>
      <c r="B21" s="8">
        <v>296.26</v>
      </c>
      <c r="C21">
        <v>0</v>
      </c>
      <c r="D21" s="4">
        <v>1.341</v>
      </c>
      <c r="E21" s="12">
        <f>Table145[[#This Row],[USD Value]]*Table145[[#This Row],[USD/CAD]]</f>
        <v>397.28465999999997</v>
      </c>
      <c r="F21" s="12">
        <f>Table145[[#This Row],[Cashflow]]*Table145[[#This Row],[USD/CAD]]</f>
        <v>0</v>
      </c>
    </row>
    <row r="22" spans="1:10" x14ac:dyDescent="0.2">
      <c r="A22" s="1">
        <v>43920</v>
      </c>
      <c r="B22" s="8">
        <v>257.75</v>
      </c>
      <c r="C22">
        <v>1.4059999999999999</v>
      </c>
      <c r="D22" s="4">
        <v>1.4025000000000001</v>
      </c>
      <c r="E22" s="12">
        <f>Table145[[#This Row],[USD Value]]*Table145[[#This Row],[USD/CAD]]</f>
        <v>361.49437500000005</v>
      </c>
      <c r="F22" s="12">
        <f>Table145[[#This Row],[Cashflow]]*Table145[[#This Row],[USD/CAD]]</f>
        <v>1.9719150000000001</v>
      </c>
      <c r="H22" s="20"/>
    </row>
    <row r="23" spans="1:10" x14ac:dyDescent="0.2">
      <c r="A23" s="1">
        <v>43951</v>
      </c>
      <c r="B23" s="8">
        <v>290.48</v>
      </c>
      <c r="C23">
        <v>0</v>
      </c>
      <c r="D23" s="4">
        <v>1.3919999999999999</v>
      </c>
      <c r="E23" s="12">
        <f>Table145[[#This Row],[USD Value]]*Table145[[#This Row],[USD/CAD]]</f>
        <v>404.34816000000001</v>
      </c>
      <c r="F23" s="12">
        <f>Table145[[#This Row],[Cashflow]]*Table145[[#This Row],[USD/CAD]]</f>
        <v>0</v>
      </c>
    </row>
    <row r="24" spans="1:10" x14ac:dyDescent="0.2">
      <c r="A24" s="1">
        <v>43981</v>
      </c>
      <c r="B24" s="8">
        <v>304.32</v>
      </c>
      <c r="C24">
        <v>0</v>
      </c>
      <c r="D24" s="4">
        <v>1.3759999999999999</v>
      </c>
      <c r="E24" s="12">
        <f>Table145[[#This Row],[USD Value]]*Table145[[#This Row],[USD/CAD]]</f>
        <v>418.74431999999996</v>
      </c>
      <c r="F24" s="12">
        <f>Table145[[#This Row],[Cashflow]]*Table145[[#This Row],[USD/CAD]]</f>
        <v>0</v>
      </c>
    </row>
    <row r="25" spans="1:10" x14ac:dyDescent="0.2">
      <c r="A25" s="1">
        <v>44012</v>
      </c>
      <c r="B25" s="8">
        <v>308.36</v>
      </c>
      <c r="C25">
        <v>1.3660000000000001</v>
      </c>
      <c r="D25" s="4">
        <v>1.3580000000000001</v>
      </c>
      <c r="E25" s="12">
        <f>Table145[[#This Row],[USD Value]]*Table145[[#This Row],[USD/CAD]]</f>
        <v>418.75288000000006</v>
      </c>
      <c r="F25" s="12">
        <f>Table145[[#This Row],[Cashflow]]*Table145[[#This Row],[USD/CAD]]</f>
        <v>1.8550280000000003</v>
      </c>
    </row>
    <row r="26" spans="1:10" x14ac:dyDescent="0.2">
      <c r="A26" s="1">
        <v>44042</v>
      </c>
      <c r="B26" s="8">
        <v>326.52</v>
      </c>
      <c r="C26">
        <v>0</v>
      </c>
      <c r="D26" s="4">
        <v>1.3394999999999999</v>
      </c>
      <c r="E26" s="12">
        <f>Table145[[#This Row],[USD Value]]*Table145[[#This Row],[USD/CAD]]</f>
        <v>437.37353999999993</v>
      </c>
      <c r="F26" s="12">
        <f>Table145[[#This Row],[Cashflow]]*Table145[[#This Row],[USD/CAD]]</f>
        <v>0</v>
      </c>
    </row>
    <row r="27" spans="1:10" x14ac:dyDescent="0.2">
      <c r="A27" s="1">
        <v>44073</v>
      </c>
      <c r="B27" s="8">
        <v>349.31</v>
      </c>
      <c r="C27">
        <v>0</v>
      </c>
      <c r="D27" s="4">
        <v>1.3045</v>
      </c>
      <c r="E27" s="12">
        <f>Table145[[#This Row],[USD Value]]*Table145[[#This Row],[USD/CAD]]</f>
        <v>455.67489499999999</v>
      </c>
      <c r="F27" s="12">
        <f>Table145[[#This Row],[Cashflow]]*Table145[[#This Row],[USD/CAD]]</f>
        <v>0</v>
      </c>
    </row>
    <row r="28" spans="1:10" x14ac:dyDescent="0.2">
      <c r="A28" s="1">
        <v>44104</v>
      </c>
      <c r="B28" s="8">
        <v>334.89</v>
      </c>
      <c r="C28">
        <v>1.339</v>
      </c>
      <c r="D28" s="4">
        <v>1.3314999999999999</v>
      </c>
      <c r="E28" s="12">
        <f>Table145[[#This Row],[USD Value]]*Table145[[#This Row],[USD/CAD]]</f>
        <v>445.90603499999997</v>
      </c>
      <c r="F28" s="12">
        <f>Table145[[#This Row],[Cashflow]]*Table145[[#This Row],[USD/CAD]]</f>
        <v>1.7828784999999998</v>
      </c>
    </row>
    <row r="29" spans="1:10" x14ac:dyDescent="0.2">
      <c r="A29" s="1">
        <v>44134</v>
      </c>
      <c r="B29" s="8">
        <v>326.54000000000002</v>
      </c>
      <c r="C29">
        <v>0</v>
      </c>
      <c r="D29" s="4">
        <v>1.333</v>
      </c>
      <c r="E29" s="12">
        <f>Table145[[#This Row],[USD Value]]*Table145[[#This Row],[USD/CAD]]</f>
        <v>435.27782000000002</v>
      </c>
      <c r="F29" s="12">
        <f>Table145[[#This Row],[Cashflow]]*Table145[[#This Row],[USD/CAD]]</f>
        <v>0</v>
      </c>
    </row>
    <row r="30" spans="1:10" x14ac:dyDescent="0.2">
      <c r="A30" s="1">
        <v>44165</v>
      </c>
      <c r="B30" s="8">
        <v>362.06</v>
      </c>
      <c r="C30">
        <v>0</v>
      </c>
      <c r="D30" s="4">
        <v>1.2975000000000001</v>
      </c>
      <c r="E30" s="12">
        <f>Table145[[#This Row],[USD Value]]*Table145[[#This Row],[USD/CAD]]</f>
        <v>469.77285000000006</v>
      </c>
      <c r="F30" s="12">
        <f>Table145[[#This Row],[Cashflow]]*Table145[[#This Row],[USD/CAD]]</f>
        <v>0</v>
      </c>
    </row>
    <row r="31" spans="1:10" x14ac:dyDescent="0.2">
      <c r="A31" s="1">
        <v>44195</v>
      </c>
      <c r="B31" s="8">
        <v>373.88</v>
      </c>
      <c r="C31">
        <v>1.58</v>
      </c>
      <c r="D31" s="4">
        <v>1.2735000000000001</v>
      </c>
      <c r="E31" s="12">
        <f>Table145[[#This Row],[USD Value]]*Table145[[#This Row],[USD/CAD]]</f>
        <v>476.13618000000002</v>
      </c>
      <c r="F31" s="12">
        <f>Table145[[#This Row],[Cashflow]]*Table145[[#This Row],[USD/CAD]]</f>
        <v>2.0121300000000004</v>
      </c>
    </row>
    <row r="32" spans="1:10" x14ac:dyDescent="0.2">
      <c r="A32" s="1">
        <v>44226</v>
      </c>
      <c r="B32" s="8">
        <v>370.07</v>
      </c>
      <c r="C32">
        <v>0</v>
      </c>
      <c r="D32" s="4">
        <v>1.278</v>
      </c>
      <c r="E32" s="12">
        <f>Table145[[#This Row],[USD Value]]*Table145[[#This Row],[USD/CAD]]</f>
        <v>472.94945999999999</v>
      </c>
      <c r="F32" s="12">
        <f>Table145[[#This Row],[Cashflow]]*Table145[[#This Row],[USD/CAD]]</f>
        <v>0</v>
      </c>
    </row>
    <row r="33" spans="1:6" x14ac:dyDescent="0.2">
      <c r="A33" s="1">
        <v>44255</v>
      </c>
      <c r="B33" s="8">
        <v>380.36</v>
      </c>
      <c r="C33">
        <v>0</v>
      </c>
      <c r="D33" s="4">
        <v>1.2715000000000001</v>
      </c>
      <c r="E33" s="12">
        <f>Table145[[#This Row],[USD Value]]*Table145[[#This Row],[USD/CAD]]</f>
        <v>483.62774000000007</v>
      </c>
      <c r="F33" s="12">
        <f>Table145[[#This Row],[Cashflow]]*Table145[[#This Row],[USD/CAD]]</f>
        <v>0</v>
      </c>
    </row>
    <row r="34" spans="1:6" x14ac:dyDescent="0.2">
      <c r="A34" s="1">
        <v>44285</v>
      </c>
      <c r="B34" s="8">
        <v>396.33</v>
      </c>
      <c r="C34">
        <v>1.278</v>
      </c>
      <c r="D34" s="4">
        <v>1.2575000000000001</v>
      </c>
      <c r="E34" s="12">
        <f>Table145[[#This Row],[USD Value]]*Table145[[#This Row],[USD/CAD]]</f>
        <v>498.384975</v>
      </c>
      <c r="F34" s="12">
        <f>Table145[[#This Row],[Cashflow]]*Table145[[#This Row],[USD/CAD]]</f>
        <v>1.6070850000000001</v>
      </c>
    </row>
    <row r="35" spans="1:6" x14ac:dyDescent="0.2">
      <c r="A35" s="1">
        <v>44316</v>
      </c>
      <c r="B35" s="8">
        <v>417.3</v>
      </c>
      <c r="C35">
        <v>0</v>
      </c>
      <c r="D35" s="4">
        <v>1.2290000000000001</v>
      </c>
      <c r="E35" s="12">
        <f>Table145[[#This Row],[USD Value]]*Table145[[#This Row],[USD/CAD]]</f>
        <v>512.86170000000004</v>
      </c>
      <c r="F35" s="12">
        <f>Table145[[#This Row],[Cashflow]]*Table145[[#This Row],[USD/CAD]]</f>
        <v>0</v>
      </c>
    </row>
    <row r="36" spans="1:6" x14ac:dyDescent="0.2">
      <c r="A36" s="1">
        <v>44346</v>
      </c>
      <c r="B36" s="8">
        <v>420.04</v>
      </c>
      <c r="C36">
        <v>0</v>
      </c>
      <c r="D36" s="4">
        <v>1.206</v>
      </c>
      <c r="E36" s="12">
        <f>Table145[[#This Row],[USD Value]]*Table145[[#This Row],[USD/CAD]]</f>
        <v>506.56824</v>
      </c>
      <c r="F36" s="12">
        <f>Table145[[#This Row],[Cashflow]]*Table145[[#This Row],[USD/CAD]]</f>
        <v>0</v>
      </c>
    </row>
    <row r="37" spans="1:6" x14ac:dyDescent="0.2">
      <c r="A37" s="1">
        <v>44377</v>
      </c>
      <c r="B37" s="8">
        <v>428.06</v>
      </c>
      <c r="C37">
        <v>1.3759999999999999</v>
      </c>
      <c r="D37" s="4">
        <v>1.2404999999999999</v>
      </c>
      <c r="E37" s="12">
        <f>Table145[[#This Row],[USD Value]]*Table145[[#This Row],[USD/CAD]]</f>
        <v>531.00842999999998</v>
      </c>
      <c r="F37" s="12">
        <f>Table145[[#This Row],[Cashflow]]*Table145[[#This Row],[USD/CAD]]</f>
        <v>1.7069279999999998</v>
      </c>
    </row>
    <row r="38" spans="1:6" x14ac:dyDescent="0.2">
      <c r="A38" s="1">
        <v>44407</v>
      </c>
      <c r="B38" s="8">
        <v>438.51</v>
      </c>
      <c r="C38">
        <v>0</v>
      </c>
      <c r="D38" s="4">
        <v>1.2475000000000001</v>
      </c>
      <c r="E38" s="12">
        <f>Table145[[#This Row],[USD Value]]*Table145[[#This Row],[USD/CAD]]</f>
        <v>547.04122500000005</v>
      </c>
      <c r="F38" s="12">
        <f>Table145[[#This Row],[Cashflow]]*Table145[[#This Row],[USD/CAD]]</f>
        <v>0</v>
      </c>
    </row>
    <row r="39" spans="1:6" x14ac:dyDescent="0.2">
      <c r="A39" s="1">
        <v>44438</v>
      </c>
      <c r="B39" s="8">
        <v>451.56</v>
      </c>
      <c r="C39">
        <v>0</v>
      </c>
      <c r="D39" s="4">
        <v>1.2615000000000001</v>
      </c>
      <c r="E39" s="12">
        <f>Table145[[#This Row],[USD Value]]*Table145[[#This Row],[USD/CAD]]</f>
        <v>569.64294000000007</v>
      </c>
      <c r="F39" s="12">
        <f>Table145[[#This Row],[Cashflow]]*Table145[[#This Row],[USD/CAD]]</f>
        <v>0</v>
      </c>
    </row>
    <row r="40" spans="1:6" x14ac:dyDescent="0.2">
      <c r="A40" s="1">
        <v>44469</v>
      </c>
      <c r="B40" s="8">
        <v>429.14</v>
      </c>
      <c r="C40">
        <v>1.4279999999999999</v>
      </c>
      <c r="D40" s="4">
        <v>1.2655000000000001</v>
      </c>
      <c r="E40" s="12">
        <f>Table145[[#This Row],[USD Value]]*Table145[[#This Row],[USD/CAD]]</f>
        <v>543.07667000000004</v>
      </c>
      <c r="F40" s="12">
        <f>Table145[[#This Row],[Cashflow]]*Table145[[#This Row],[USD/CAD]]</f>
        <v>1.807134</v>
      </c>
    </row>
    <row r="41" spans="1:6" x14ac:dyDescent="0.2">
      <c r="A41" s="1">
        <v>44499</v>
      </c>
      <c r="B41" s="8">
        <v>459.25</v>
      </c>
      <c r="C41">
        <v>0</v>
      </c>
      <c r="D41" s="4">
        <v>1.2384999999999999</v>
      </c>
      <c r="E41" s="12">
        <f>Table145[[#This Row],[USD Value]]*Table145[[#This Row],[USD/CAD]]</f>
        <v>568.78112499999997</v>
      </c>
      <c r="F41" s="12">
        <f>Table145[[#This Row],[Cashflow]]*Table145[[#This Row],[USD/CAD]]</f>
        <v>0</v>
      </c>
    </row>
    <row r="42" spans="1:6" x14ac:dyDescent="0.2">
      <c r="A42" s="1">
        <v>44530</v>
      </c>
      <c r="B42" s="8">
        <v>455.56</v>
      </c>
      <c r="C42">
        <v>0</v>
      </c>
      <c r="D42" s="4">
        <v>1.2775000000000001</v>
      </c>
      <c r="E42" s="12">
        <f>Table145[[#This Row],[USD Value]]*Table145[[#This Row],[USD/CAD]]</f>
        <v>581.97790000000009</v>
      </c>
      <c r="F42" s="12">
        <f>Table145[[#This Row],[Cashflow]]*Table145[[#This Row],[USD/CAD]]</f>
        <v>0</v>
      </c>
    </row>
    <row r="43" spans="1:6" x14ac:dyDescent="0.2">
      <c r="A43" s="1">
        <v>44560</v>
      </c>
      <c r="B43" s="8">
        <v>474.96</v>
      </c>
      <c r="C43">
        <v>1.633</v>
      </c>
      <c r="D43" s="4">
        <v>1.2645</v>
      </c>
      <c r="E43" s="12">
        <f>Table145[[#This Row],[USD Value]]*Table145[[#This Row],[USD/CAD]]</f>
        <v>600.58691999999996</v>
      </c>
      <c r="F43" s="12">
        <f>Table145[[#This Row],[Cashflow]]*Table145[[#This Row],[USD/CAD]]</f>
        <v>2.0649284999999997</v>
      </c>
    </row>
    <row r="44" spans="1:6" x14ac:dyDescent="0.2">
      <c r="A44" s="1">
        <v>44591</v>
      </c>
      <c r="B44" s="8">
        <v>449.91</v>
      </c>
      <c r="C44">
        <v>0</v>
      </c>
      <c r="D44" s="4">
        <v>1.27</v>
      </c>
      <c r="E44" s="12">
        <f>Table145[[#This Row],[USD Value]]*Table145[[#This Row],[USD/CAD]]</f>
        <v>571.38570000000004</v>
      </c>
      <c r="F44" s="12">
        <f>Table145[[#This Row],[Cashflow]]*Table145[[#This Row],[USD/CAD]]</f>
        <v>0</v>
      </c>
    </row>
    <row r="45" spans="1:6" x14ac:dyDescent="0.2">
      <c r="A45" s="1">
        <v>44620</v>
      </c>
      <c r="B45" s="8">
        <v>436.63</v>
      </c>
      <c r="C45">
        <v>0</v>
      </c>
      <c r="D45" s="4">
        <v>1.2685</v>
      </c>
      <c r="E45" s="12">
        <f>Table145[[#This Row],[USD Value]]*Table145[[#This Row],[USD/CAD]]</f>
        <v>553.86515499999996</v>
      </c>
      <c r="F45" s="12">
        <f>Table145[[#This Row],[Cashflow]]*Table145[[#This Row],[USD/CAD]]</f>
        <v>0</v>
      </c>
    </row>
    <row r="46" spans="1:6" x14ac:dyDescent="0.2">
      <c r="A46" s="1">
        <v>44650</v>
      </c>
      <c r="B46" s="8">
        <v>451.64</v>
      </c>
      <c r="C46">
        <v>1.3660000000000001</v>
      </c>
      <c r="D46" s="4">
        <v>1.25</v>
      </c>
      <c r="E46" s="12">
        <f>Table145[[#This Row],[USD Value]]*Table145[[#This Row],[USD/CAD]]</f>
        <v>564.54999999999995</v>
      </c>
      <c r="F46" s="12">
        <f>Table145[[#This Row],[Cashflow]]*Table145[[#This Row],[USD/CAD]]</f>
        <v>1.7075</v>
      </c>
    </row>
    <row r="47" spans="1:6" x14ac:dyDescent="0.2">
      <c r="A47" s="1">
        <v>44681</v>
      </c>
      <c r="B47" s="8">
        <v>412</v>
      </c>
      <c r="C47">
        <v>0</v>
      </c>
      <c r="D47" s="4">
        <v>1.2849999999999999</v>
      </c>
      <c r="E47" s="12">
        <f>Table145[[#This Row],[USD Value]]*Table145[[#This Row],[USD/CAD]]</f>
        <v>529.41999999999996</v>
      </c>
      <c r="F47" s="12">
        <f>Table145[[#This Row],[Cashflow]]*Table145[[#This Row],[USD/CAD]]</f>
        <v>0</v>
      </c>
    </row>
    <row r="48" spans="1:6" x14ac:dyDescent="0.2">
      <c r="A48" s="1">
        <v>44711</v>
      </c>
      <c r="B48" s="8">
        <v>412.93</v>
      </c>
      <c r="C48">
        <v>0</v>
      </c>
      <c r="D48" s="4">
        <v>1.2645</v>
      </c>
      <c r="E48" s="12">
        <f>Table145[[#This Row],[USD Value]]*Table145[[#This Row],[USD/CAD]]</f>
        <v>522.14998500000002</v>
      </c>
      <c r="F48" s="12">
        <f>Table145[[#This Row],[Cashflow]]*Table145[[#This Row],[USD/CAD]]</f>
        <v>0</v>
      </c>
    </row>
    <row r="49" spans="1:6" x14ac:dyDescent="0.2">
      <c r="A49" s="1">
        <v>44742</v>
      </c>
      <c r="B49" s="8">
        <v>377.25</v>
      </c>
      <c r="C49">
        <v>1.577</v>
      </c>
      <c r="D49" s="4">
        <v>1.2875000000000001</v>
      </c>
      <c r="E49" s="12">
        <f>Table145[[#This Row],[USD Value]]*Table145[[#This Row],[USD/CAD]]</f>
        <v>485.70937500000002</v>
      </c>
      <c r="F49" s="12">
        <f>Table145[[#This Row],[Cashflow]]*Table145[[#This Row],[USD/CAD]]</f>
        <v>2.0303875000000002</v>
      </c>
    </row>
    <row r="50" spans="1:6" x14ac:dyDescent="0.2">
      <c r="A50" s="1">
        <v>44772</v>
      </c>
      <c r="B50" s="8">
        <v>411.99</v>
      </c>
      <c r="C50">
        <v>0</v>
      </c>
      <c r="D50" s="4">
        <v>1.2795000000000001</v>
      </c>
      <c r="E50" s="12">
        <f>Table145[[#This Row],[USD Value]]*Table145[[#This Row],[USD/CAD]]</f>
        <v>527.14120500000001</v>
      </c>
      <c r="F50" s="12">
        <f>Table145[[#This Row],[Cashflow]]*Table145[[#This Row],[USD/CAD]]</f>
        <v>0</v>
      </c>
    </row>
    <row r="51" spans="1:6" x14ac:dyDescent="0.2">
      <c r="A51" s="1">
        <v>44803</v>
      </c>
      <c r="B51" s="8">
        <v>395.18</v>
      </c>
      <c r="C51">
        <v>0</v>
      </c>
      <c r="D51" s="4">
        <v>1.3140000000000001</v>
      </c>
      <c r="E51" s="12">
        <f>Table145[[#This Row],[USD Value]]*Table145[[#This Row],[USD/CAD]]</f>
        <v>519.26652000000001</v>
      </c>
      <c r="F51" s="12">
        <f>Table145[[#This Row],[Cashflow]]*Table145[[#This Row],[USD/CAD]]</f>
        <v>0</v>
      </c>
    </row>
    <row r="52" spans="1:6" x14ac:dyDescent="0.2">
      <c r="A52" s="1">
        <v>44834</v>
      </c>
      <c r="B52" s="8">
        <v>357.18</v>
      </c>
      <c r="C52">
        <v>1.5960000000000001</v>
      </c>
      <c r="D52" s="4">
        <v>1.3825000000000001</v>
      </c>
      <c r="E52" s="12">
        <f>Table145[[#This Row],[USD Value]]*Table145[[#This Row],[USD/CAD]]</f>
        <v>493.80135000000001</v>
      </c>
      <c r="F52" s="12">
        <f>Table145[[#This Row],[Cashflow]]*Table145[[#This Row],[USD/CAD]]</f>
        <v>2.2064700000000004</v>
      </c>
    </row>
    <row r="53" spans="1:6" x14ac:dyDescent="0.2">
      <c r="A53" s="1">
        <v>44864</v>
      </c>
      <c r="B53" s="8">
        <v>386.21</v>
      </c>
      <c r="C53">
        <v>0</v>
      </c>
      <c r="D53" s="4">
        <v>1.3620000000000001</v>
      </c>
      <c r="E53" s="12">
        <f>Table145[[#This Row],[USD Value]]*Table145[[#This Row],[USD/CAD]]</f>
        <v>526.01801999999998</v>
      </c>
      <c r="F53" s="12">
        <f>Table145[[#This Row],[Cashflow]]*Table145[[#This Row],[USD/CAD]]</f>
        <v>0</v>
      </c>
    </row>
    <row r="54" spans="1:6" x14ac:dyDescent="0.2">
      <c r="A54" s="1">
        <v>44895</v>
      </c>
      <c r="B54" s="8">
        <v>407.68</v>
      </c>
      <c r="C54">
        <v>0</v>
      </c>
      <c r="D54" s="4">
        <v>1.3445</v>
      </c>
      <c r="E54" s="12">
        <f>Table145[[#This Row],[USD Value]]*Table145[[#This Row],[USD/CAD]]</f>
        <v>548.12576000000001</v>
      </c>
      <c r="F54" s="12">
        <f>Table145[[#This Row],[Cashflow]]*Table145[[#This Row],[USD/CAD]]</f>
        <v>0</v>
      </c>
    </row>
    <row r="55" spans="1:6" x14ac:dyDescent="0.2">
      <c r="A55" s="1">
        <v>44925</v>
      </c>
      <c r="B55" s="8">
        <v>382.43</v>
      </c>
      <c r="C55">
        <v>1.7809999999999999</v>
      </c>
      <c r="D55" s="4">
        <v>1.353</v>
      </c>
      <c r="E55" s="12">
        <f>Table145[[#This Row],[USD Value]]*Table145[[#This Row],[USD/CAD]]</f>
        <v>517.42778999999996</v>
      </c>
      <c r="F55" s="12">
        <f>Table145[[#This Row],[Cashflow]]*Table145[[#This Row],[USD/CAD]]</f>
        <v>2.4096929999999999</v>
      </c>
    </row>
    <row r="56" spans="1:6" x14ac:dyDescent="0.2">
      <c r="A56" s="1"/>
      <c r="B56" s="8"/>
    </row>
    <row r="57" spans="1:6" x14ac:dyDescent="0.2">
      <c r="A57" s="1"/>
      <c r="B57" s="8"/>
    </row>
    <row r="58" spans="1:6" x14ac:dyDescent="0.2">
      <c r="A58" s="1"/>
      <c r="B58" s="8"/>
    </row>
    <row r="59" spans="1:6" x14ac:dyDescent="0.2">
      <c r="A59" s="1"/>
      <c r="B59" s="8"/>
    </row>
    <row r="60" spans="1:6" x14ac:dyDescent="0.2">
      <c r="A60" s="1"/>
      <c r="B60" s="8"/>
    </row>
    <row r="61" spans="1:6" x14ac:dyDescent="0.2">
      <c r="A61" s="1"/>
      <c r="B61" s="8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5EDA5-3253-AB4D-89B2-343577CE54FF}">
  <sheetPr codeName="Sheet6"/>
  <dimension ref="A1:J59"/>
  <sheetViews>
    <sheetView tabSelected="1" zoomScale="87" zoomScaleNormal="57" workbookViewId="0">
      <selection activeCell="E52" sqref="E52"/>
    </sheetView>
  </sheetViews>
  <sheetFormatPr baseColWidth="10" defaultColWidth="35" defaultRowHeight="15" x14ac:dyDescent="0.2"/>
  <cols>
    <col min="10" max="10" width="35" style="23"/>
  </cols>
  <sheetData>
    <row r="1" spans="1:9" x14ac:dyDescent="0.2">
      <c r="A1" s="18" t="s">
        <v>0</v>
      </c>
      <c r="B1" t="s">
        <v>15</v>
      </c>
      <c r="C1" t="s">
        <v>16</v>
      </c>
      <c r="D1" t="s">
        <v>13</v>
      </c>
      <c r="E1" t="s">
        <v>14</v>
      </c>
      <c r="F1" t="s">
        <v>17</v>
      </c>
      <c r="G1" t="s">
        <v>18</v>
      </c>
      <c r="H1" t="s">
        <v>19</v>
      </c>
      <c r="I1" t="s">
        <v>20</v>
      </c>
    </row>
    <row r="2" spans="1:9" x14ac:dyDescent="0.2">
      <c r="A2" s="18">
        <v>43189</v>
      </c>
      <c r="B2">
        <v>10275003.810000001</v>
      </c>
      <c r="C2">
        <v>82155.02</v>
      </c>
    </row>
    <row r="3" spans="1:9" x14ac:dyDescent="0.2">
      <c r="A3" s="18">
        <v>43281</v>
      </c>
      <c r="B3">
        <v>11310824.25</v>
      </c>
      <c r="C3">
        <v>98024.73000000001</v>
      </c>
    </row>
    <row r="4" spans="1:9" x14ac:dyDescent="0.2">
      <c r="A4" s="18">
        <v>43373</v>
      </c>
      <c r="B4">
        <v>11021497.470000001</v>
      </c>
      <c r="C4">
        <v>99091.37</v>
      </c>
      <c r="D4">
        <v>76817538.330333993</v>
      </c>
      <c r="E4" s="23">
        <v>417522.65543500002</v>
      </c>
      <c r="F4">
        <v>23.94</v>
      </c>
      <c r="G4">
        <v>0.17599999999999999</v>
      </c>
      <c r="H4">
        <v>375.69745600000005</v>
      </c>
      <c r="I4">
        <v>1.7097129</v>
      </c>
    </row>
    <row r="5" spans="1:9" x14ac:dyDescent="0.2">
      <c r="A5" s="18">
        <v>43464</v>
      </c>
      <c r="B5">
        <v>9938734.3699999992</v>
      </c>
      <c r="C5">
        <v>203302.63</v>
      </c>
      <c r="D5">
        <v>78261382.276350006</v>
      </c>
      <c r="E5" s="23">
        <v>-173581.15597199998</v>
      </c>
      <c r="F5">
        <v>23</v>
      </c>
      <c r="G5">
        <v>0.17799999999999999</v>
      </c>
      <c r="H5">
        <v>341.14079999999996</v>
      </c>
      <c r="I5">
        <v>1.9587750000000002</v>
      </c>
    </row>
    <row r="6" spans="1:9" x14ac:dyDescent="0.2">
      <c r="A6" s="18">
        <v>43554</v>
      </c>
      <c r="B6">
        <v>11123149.130000001</v>
      </c>
      <c r="C6">
        <v>89247.92</v>
      </c>
      <c r="D6">
        <v>82086392.888280004</v>
      </c>
      <c r="E6" s="23">
        <v>406733.76405</v>
      </c>
      <c r="F6">
        <v>24.16</v>
      </c>
      <c r="G6">
        <v>0.17899999999999999</v>
      </c>
      <c r="H6">
        <v>377.53452000000004</v>
      </c>
      <c r="I6">
        <v>1.6479045000000001</v>
      </c>
    </row>
    <row r="7" spans="1:9" x14ac:dyDescent="0.2">
      <c r="A7" s="18">
        <v>43646</v>
      </c>
      <c r="B7">
        <v>11146899.630000001</v>
      </c>
      <c r="C7">
        <v>107600.31</v>
      </c>
      <c r="D7">
        <v>81106752.178759992</v>
      </c>
      <c r="E7" s="23">
        <v>447936.71576000005</v>
      </c>
      <c r="F7">
        <v>24.65</v>
      </c>
      <c r="G7">
        <v>0.18</v>
      </c>
      <c r="H7">
        <v>383.53699999999998</v>
      </c>
      <c r="I7">
        <v>1.8744879999999999</v>
      </c>
    </row>
    <row r="8" spans="1:9" x14ac:dyDescent="0.2">
      <c r="A8" s="18">
        <v>43738</v>
      </c>
      <c r="B8">
        <v>11249173.25</v>
      </c>
      <c r="C8">
        <v>125012.98999999999</v>
      </c>
      <c r="D8">
        <v>82658329.271960005</v>
      </c>
      <c r="E8" s="23">
        <v>446917.69864000002</v>
      </c>
      <c r="F8">
        <v>25.15</v>
      </c>
      <c r="G8">
        <v>0.18099999999999999</v>
      </c>
      <c r="H8">
        <v>392.92347999999998</v>
      </c>
      <c r="I8">
        <v>1.832416</v>
      </c>
    </row>
    <row r="9" spans="1:9" x14ac:dyDescent="0.2">
      <c r="A9" s="18">
        <v>43829</v>
      </c>
      <c r="B9">
        <v>11498725.48</v>
      </c>
      <c r="C9">
        <v>109038.87</v>
      </c>
      <c r="D9">
        <v>84642743.91144</v>
      </c>
      <c r="E9" s="23">
        <v>473789.71814000001</v>
      </c>
      <c r="F9">
        <v>25.56</v>
      </c>
      <c r="G9">
        <v>0.193</v>
      </c>
      <c r="H9">
        <v>417.77428000000003</v>
      </c>
      <c r="I9">
        <v>2.0378600000000002</v>
      </c>
    </row>
    <row r="10" spans="1:9" x14ac:dyDescent="0.2">
      <c r="A10" s="18">
        <v>43920</v>
      </c>
      <c r="B10">
        <v>7737016.0800000001</v>
      </c>
      <c r="C10">
        <v>1066100.1099999999</v>
      </c>
      <c r="D10">
        <v>77924803.529100001</v>
      </c>
      <c r="E10" s="23">
        <v>441713.780195</v>
      </c>
      <c r="F10">
        <v>20.65</v>
      </c>
      <c r="G10">
        <v>0.19400000000000001</v>
      </c>
      <c r="H10">
        <v>361.49437500000005</v>
      </c>
      <c r="I10">
        <v>1.9719150000000001</v>
      </c>
    </row>
    <row r="11" spans="1:9" x14ac:dyDescent="0.2">
      <c r="A11" s="18">
        <v>44012</v>
      </c>
      <c r="B11">
        <v>8103584.5</v>
      </c>
      <c r="C11">
        <v>107390.11</v>
      </c>
      <c r="D11">
        <v>81746974.353240013</v>
      </c>
      <c r="E11" s="23">
        <v>482080.72573999997</v>
      </c>
      <c r="F11">
        <v>23.55</v>
      </c>
      <c r="G11">
        <v>0.20699999999999999</v>
      </c>
      <c r="H11">
        <v>418.75288000000006</v>
      </c>
      <c r="I11">
        <v>1.8550280000000003</v>
      </c>
    </row>
    <row r="12" spans="1:9" x14ac:dyDescent="0.2">
      <c r="A12" s="18">
        <v>44104</v>
      </c>
      <c r="B12">
        <v>7740937.9800000004</v>
      </c>
      <c r="C12">
        <v>107162.42</v>
      </c>
      <c r="D12">
        <v>84261739.195239991</v>
      </c>
      <c r="E12" s="23">
        <v>442009.59966499999</v>
      </c>
      <c r="F12">
        <v>24.38</v>
      </c>
      <c r="G12">
        <v>0.189</v>
      </c>
      <c r="H12">
        <v>445.90603499999997</v>
      </c>
      <c r="I12">
        <v>1.7828784999999998</v>
      </c>
    </row>
    <row r="13" spans="1:9" x14ac:dyDescent="0.2">
      <c r="A13" s="18">
        <v>44195</v>
      </c>
      <c r="B13">
        <v>8678665.9800000004</v>
      </c>
      <c r="C13">
        <v>106950.25</v>
      </c>
      <c r="D13">
        <v>85906819.412910014</v>
      </c>
      <c r="E13" s="23">
        <v>473806.23291999998</v>
      </c>
      <c r="F13">
        <v>26.07</v>
      </c>
      <c r="G13">
        <v>0.19900000000000001</v>
      </c>
      <c r="H13">
        <v>476.13618000000002</v>
      </c>
      <c r="I13">
        <v>2.0121300000000004</v>
      </c>
    </row>
    <row r="14" spans="1:9" x14ac:dyDescent="0.2">
      <c r="A14" s="18">
        <v>44285</v>
      </c>
      <c r="B14">
        <v>9893742.5600000005</v>
      </c>
      <c r="C14">
        <v>108322.84</v>
      </c>
      <c r="D14">
        <v>88937421.389575005</v>
      </c>
      <c r="E14" s="23">
        <v>411417.450985</v>
      </c>
      <c r="F14">
        <v>28.2</v>
      </c>
      <c r="G14">
        <v>0.19400000000000001</v>
      </c>
      <c r="H14">
        <v>498.384975</v>
      </c>
      <c r="I14">
        <v>1.6070850000000001</v>
      </c>
    </row>
    <row r="15" spans="1:9" x14ac:dyDescent="0.2">
      <c r="A15" s="18">
        <v>44377</v>
      </c>
      <c r="B15">
        <v>10784034.470000001</v>
      </c>
      <c r="C15">
        <v>108157.37999999999</v>
      </c>
      <c r="D15">
        <v>90662928.759524986</v>
      </c>
      <c r="E15" s="23">
        <v>1444123.238045</v>
      </c>
      <c r="F15">
        <v>30.53</v>
      </c>
      <c r="G15">
        <v>0.19700000000000001</v>
      </c>
      <c r="H15">
        <v>531.00842999999998</v>
      </c>
      <c r="I15">
        <v>1.7069279999999998</v>
      </c>
    </row>
    <row r="16" spans="1:9" x14ac:dyDescent="0.2">
      <c r="A16" s="18">
        <v>44469</v>
      </c>
      <c r="B16">
        <v>10976472.689999999</v>
      </c>
      <c r="C16">
        <v>109650.45999999999</v>
      </c>
      <c r="D16">
        <v>91736909.475799993</v>
      </c>
      <c r="E16" s="23">
        <v>447360.88072000002</v>
      </c>
      <c r="F16">
        <v>30.38</v>
      </c>
      <c r="G16">
        <v>0.20399999999999999</v>
      </c>
      <c r="H16">
        <v>543.07667000000004</v>
      </c>
      <c r="I16">
        <v>1.807134</v>
      </c>
    </row>
    <row r="17" spans="1:9" x14ac:dyDescent="0.2">
      <c r="A17" s="18">
        <v>44560</v>
      </c>
      <c r="B17">
        <v>10570692.17</v>
      </c>
      <c r="C17">
        <v>119309.22</v>
      </c>
      <c r="D17">
        <v>98539364.087549999</v>
      </c>
      <c r="E17" s="23">
        <v>492760.52707499999</v>
      </c>
      <c r="F17">
        <v>32.520000000000003</v>
      </c>
      <c r="G17">
        <v>0.19600000000000001</v>
      </c>
      <c r="H17">
        <v>600.58691999999996</v>
      </c>
      <c r="I17">
        <v>2.0649284999999997</v>
      </c>
    </row>
    <row r="18" spans="1:9" x14ac:dyDescent="0.2">
      <c r="A18" s="18">
        <v>44650</v>
      </c>
      <c r="B18">
        <v>11375020.050000001</v>
      </c>
      <c r="C18">
        <v>118284.17</v>
      </c>
      <c r="D18">
        <v>96787557.487499997</v>
      </c>
      <c r="E18" s="23">
        <v>396522.19472500001</v>
      </c>
      <c r="F18">
        <v>33.479999999999997</v>
      </c>
      <c r="G18">
        <v>0.20799999999999999</v>
      </c>
      <c r="H18">
        <v>564.54999999999995</v>
      </c>
      <c r="I18">
        <v>1.7075</v>
      </c>
    </row>
    <row r="19" spans="1:9" x14ac:dyDescent="0.2">
      <c r="A19" s="18">
        <v>44742</v>
      </c>
      <c r="B19">
        <v>10840024.32</v>
      </c>
      <c r="C19">
        <v>81018.22</v>
      </c>
      <c r="D19">
        <v>95616815.310750008</v>
      </c>
      <c r="E19" s="23">
        <v>279085.64448000002</v>
      </c>
      <c r="F19">
        <v>29.01</v>
      </c>
      <c r="G19">
        <v>0.221</v>
      </c>
      <c r="H19">
        <v>485.70937500000002</v>
      </c>
      <c r="I19">
        <v>2.0303875000000002</v>
      </c>
    </row>
    <row r="20" spans="1:9" x14ac:dyDescent="0.2">
      <c r="A20" s="18">
        <v>44834</v>
      </c>
      <c r="B20">
        <v>10575579.43</v>
      </c>
      <c r="C20">
        <v>0</v>
      </c>
      <c r="D20">
        <v>95638991.828274995</v>
      </c>
      <c r="E20" s="23">
        <v>0</v>
      </c>
      <c r="F20">
        <v>28.28</v>
      </c>
      <c r="G20">
        <v>0.23</v>
      </c>
      <c r="H20">
        <v>493.80135000000001</v>
      </c>
      <c r="I20">
        <v>2.2064700000000004</v>
      </c>
    </row>
    <row r="21" spans="1:9" x14ac:dyDescent="0.2">
      <c r="A21" s="18">
        <v>44925</v>
      </c>
      <c r="B21">
        <v>11216853.220000001</v>
      </c>
      <c r="C21">
        <v>-43246.989999999991</v>
      </c>
      <c r="D21">
        <v>106091315.36652</v>
      </c>
      <c r="E21" s="23">
        <v>859431.35025000002</v>
      </c>
      <c r="F21">
        <v>29.59</v>
      </c>
      <c r="G21">
        <v>0.23599999999999999</v>
      </c>
      <c r="H21">
        <v>517.42778999999996</v>
      </c>
      <c r="I21">
        <v>2.4096929999999999</v>
      </c>
    </row>
    <row r="22" spans="1:9" x14ac:dyDescent="0.2">
      <c r="A22" s="18"/>
    </row>
    <row r="25" spans="1:9" x14ac:dyDescent="0.2">
      <c r="A25" s="18">
        <v>44834</v>
      </c>
      <c r="B25">
        <v>10575579.43</v>
      </c>
      <c r="C25">
        <f>-B25</f>
        <v>-10575579.43</v>
      </c>
      <c r="F25">
        <v>10575579.43</v>
      </c>
      <c r="G25">
        <v>28.28</v>
      </c>
      <c r="H25">
        <f>F25/G25</f>
        <v>373959.66867043846</v>
      </c>
    </row>
    <row r="26" spans="1:9" x14ac:dyDescent="0.2">
      <c r="A26" s="18">
        <v>44834</v>
      </c>
      <c r="B26">
        <v>0</v>
      </c>
      <c r="C26">
        <v>0</v>
      </c>
      <c r="F26" s="18">
        <v>44834</v>
      </c>
      <c r="G26">
        <v>28.28</v>
      </c>
      <c r="H26">
        <f>-G26</f>
        <v>-28.28</v>
      </c>
    </row>
    <row r="27" spans="1:9" x14ac:dyDescent="0.2">
      <c r="A27" s="18">
        <v>44925</v>
      </c>
      <c r="B27">
        <v>-43246.989999999991</v>
      </c>
      <c r="C27">
        <v>-43246.989999999991</v>
      </c>
      <c r="F27" s="18">
        <v>44834</v>
      </c>
      <c r="G27">
        <v>0.23</v>
      </c>
      <c r="H27">
        <v>0.23</v>
      </c>
    </row>
    <row r="28" spans="1:9" x14ac:dyDescent="0.2">
      <c r="A28" s="18">
        <v>44925</v>
      </c>
      <c r="B28">
        <v>11216853.220000001</v>
      </c>
      <c r="C28">
        <v>11216853.220000001</v>
      </c>
      <c r="F28" s="18">
        <v>44925</v>
      </c>
      <c r="G28">
        <v>0.23599999999999999</v>
      </c>
      <c r="H28">
        <v>0.23599999999999999</v>
      </c>
    </row>
    <row r="29" spans="1:9" x14ac:dyDescent="0.2">
      <c r="A29" s="18"/>
      <c r="C29" s="25">
        <f>SUM(C25:C28)</f>
        <v>598026.80000000075</v>
      </c>
      <c r="D29" s="26">
        <f>XIRR(C25:C28,A25:A28,)*(A27-A26)/365</f>
        <v>6.1547055489396402E-2</v>
      </c>
      <c r="F29" s="18">
        <v>44925</v>
      </c>
      <c r="G29">
        <v>29.59</v>
      </c>
      <c r="H29">
        <v>29.59</v>
      </c>
    </row>
    <row r="30" spans="1:9" x14ac:dyDescent="0.2">
      <c r="A30" s="21"/>
      <c r="H30" s="25">
        <f>H25*SUM(H26:H29)</f>
        <v>664152.37155869859</v>
      </c>
      <c r="I30" s="26">
        <f>XIRR(H26:H29,F26:F29,)*(F28-F27)/365</f>
        <v>6.9611067396320711E-2</v>
      </c>
    </row>
    <row r="31" spans="1:9" x14ac:dyDescent="0.2">
      <c r="A31" s="21"/>
    </row>
    <row r="32" spans="1:9" x14ac:dyDescent="0.2">
      <c r="A32" s="18">
        <v>44650</v>
      </c>
      <c r="B32">
        <v>11375020.050000001</v>
      </c>
      <c r="C32">
        <f>-B32</f>
        <v>-11375020.050000001</v>
      </c>
      <c r="F32">
        <v>11375020.050000001</v>
      </c>
      <c r="G32">
        <v>33.479999999999997</v>
      </c>
      <c r="H32">
        <f>F32/G32</f>
        <v>339755.67652329756</v>
      </c>
    </row>
    <row r="33" spans="1:9" x14ac:dyDescent="0.2">
      <c r="A33" s="18">
        <v>44650</v>
      </c>
      <c r="B33">
        <v>118284.17</v>
      </c>
      <c r="C33">
        <v>118284.17</v>
      </c>
      <c r="F33" s="18">
        <v>44650</v>
      </c>
      <c r="G33">
        <v>33.479999999999997</v>
      </c>
      <c r="H33">
        <f>-G33</f>
        <v>-33.479999999999997</v>
      </c>
    </row>
    <row r="34" spans="1:9" x14ac:dyDescent="0.2">
      <c r="A34" s="18">
        <v>44742</v>
      </c>
      <c r="B34">
        <v>81018.22</v>
      </c>
      <c r="C34">
        <v>81018.22</v>
      </c>
      <c r="F34" s="18">
        <v>44650</v>
      </c>
      <c r="G34">
        <v>0.20799999999999999</v>
      </c>
      <c r="H34">
        <v>0.20799999999999999</v>
      </c>
    </row>
    <row r="35" spans="1:9" x14ac:dyDescent="0.2">
      <c r="A35" s="18">
        <v>44834</v>
      </c>
      <c r="B35">
        <v>0</v>
      </c>
      <c r="C35">
        <v>0</v>
      </c>
      <c r="F35" s="18">
        <v>44742</v>
      </c>
      <c r="G35">
        <v>0.221</v>
      </c>
      <c r="H35">
        <v>0.221</v>
      </c>
    </row>
    <row r="36" spans="1:9" x14ac:dyDescent="0.2">
      <c r="A36" s="18">
        <v>44925</v>
      </c>
      <c r="B36">
        <v>-43246.989999999991</v>
      </c>
      <c r="C36">
        <v>-43246.989999999991</v>
      </c>
      <c r="F36" s="18">
        <v>44834</v>
      </c>
      <c r="G36">
        <v>0.23</v>
      </c>
      <c r="H36">
        <v>0.23</v>
      </c>
    </row>
    <row r="37" spans="1:9" x14ac:dyDescent="0.2">
      <c r="A37" s="18">
        <v>44925</v>
      </c>
      <c r="B37">
        <v>11216853.220000001</v>
      </c>
      <c r="C37">
        <v>11216853.220000001</v>
      </c>
      <c r="F37" s="18">
        <v>44925</v>
      </c>
      <c r="G37">
        <v>0.23599999999999999</v>
      </c>
      <c r="H37">
        <v>0.23599999999999999</v>
      </c>
    </row>
    <row r="38" spans="1:9" x14ac:dyDescent="0.2">
      <c r="C38" s="25">
        <f>SUM(C32:C37)</f>
        <v>-2111.429999999702</v>
      </c>
      <c r="D38" s="26">
        <f>XIRR(C32:C37,A32:A37,)</f>
        <v>-2.5014579296112055E-4</v>
      </c>
      <c r="F38" s="18">
        <v>44925</v>
      </c>
      <c r="G38">
        <v>29.59</v>
      </c>
      <c r="H38">
        <v>29.59</v>
      </c>
    </row>
    <row r="39" spans="1:9" x14ac:dyDescent="0.2">
      <c r="H39" s="25">
        <f>H32*SUM(H33:H38)</f>
        <v>-1017568.2511872789</v>
      </c>
      <c r="I39" s="26">
        <f>XIRR(H33:H38,F33:F38,)</f>
        <v>-0.1184774797409773</v>
      </c>
    </row>
    <row r="41" spans="1:9" x14ac:dyDescent="0.2">
      <c r="A41" s="18">
        <v>44834</v>
      </c>
      <c r="B41">
        <v>95638991.828274995</v>
      </c>
      <c r="C41">
        <f>-B41</f>
        <v>-95638991.828274995</v>
      </c>
      <c r="F41">
        <v>95638991.828274995</v>
      </c>
      <c r="G41">
        <v>493.80135000000001</v>
      </c>
      <c r="H41">
        <f>F41/G41</f>
        <v>193679.0813315415</v>
      </c>
    </row>
    <row r="42" spans="1:9" x14ac:dyDescent="0.2">
      <c r="A42" s="18">
        <v>44834</v>
      </c>
      <c r="B42" s="23">
        <v>0</v>
      </c>
      <c r="C42" s="23">
        <v>0</v>
      </c>
      <c r="F42" s="18">
        <v>44834</v>
      </c>
      <c r="G42">
        <v>493.80135000000001</v>
      </c>
      <c r="H42">
        <f>-G42</f>
        <v>-493.80135000000001</v>
      </c>
    </row>
    <row r="43" spans="1:9" x14ac:dyDescent="0.2">
      <c r="A43" s="18">
        <v>44925</v>
      </c>
      <c r="B43" s="23">
        <v>859431.35025000002</v>
      </c>
      <c r="C43" s="23">
        <v>859431.35025000002</v>
      </c>
      <c r="F43" s="18">
        <v>44834</v>
      </c>
      <c r="G43">
        <v>2.2064700000000004</v>
      </c>
      <c r="H43">
        <v>2.2064700000000004</v>
      </c>
    </row>
    <row r="44" spans="1:9" x14ac:dyDescent="0.2">
      <c r="A44" s="18">
        <v>44925</v>
      </c>
      <c r="B44">
        <v>106091315.36652</v>
      </c>
      <c r="C44">
        <v>106091315.36652</v>
      </c>
      <c r="F44" s="18">
        <v>44925</v>
      </c>
      <c r="G44">
        <v>2.4096929999999999</v>
      </c>
      <c r="H44">
        <v>2.4096929999999999</v>
      </c>
    </row>
    <row r="45" spans="1:9" x14ac:dyDescent="0.2">
      <c r="C45" s="25">
        <f>SUM(C41:C44)</f>
        <v>11311754.888495013</v>
      </c>
      <c r="D45" s="26">
        <f>XIRR(C41:C44,A41:A44,)*(A43-A42)/365</f>
        <v>0.14105576206560005</v>
      </c>
      <c r="F45" s="18">
        <v>44925</v>
      </c>
      <c r="G45">
        <v>517.42778999999996</v>
      </c>
      <c r="H45">
        <v>517.42778999999996</v>
      </c>
    </row>
    <row r="46" spans="1:9" x14ac:dyDescent="0.2">
      <c r="H46" s="25">
        <f>H41*SUM(H42:H45)</f>
        <v>5470001.4034514334</v>
      </c>
      <c r="I46" s="26">
        <f>XIRR(H42:H45,F42:F45,)*(F44-F43)/365</f>
        <v>6.2614170280221412E-2</v>
      </c>
    </row>
    <row r="48" spans="1:9" x14ac:dyDescent="0.2">
      <c r="A48" s="18">
        <v>44650</v>
      </c>
      <c r="B48">
        <v>96787557.487499997</v>
      </c>
      <c r="C48">
        <f>-B48</f>
        <v>-96787557.487499997</v>
      </c>
      <c r="F48">
        <v>96787557.487499997</v>
      </c>
      <c r="G48">
        <v>564.54999999999995</v>
      </c>
      <c r="H48">
        <f>F48/G48</f>
        <v>171441.95817465239</v>
      </c>
    </row>
    <row r="49" spans="1:9" x14ac:dyDescent="0.2">
      <c r="A49" s="18">
        <v>44650</v>
      </c>
      <c r="B49" s="23">
        <v>396522.19472500001</v>
      </c>
      <c r="C49" s="23">
        <v>396522.19472500001</v>
      </c>
      <c r="F49" s="22">
        <v>44650</v>
      </c>
      <c r="G49">
        <v>564.54999999999995</v>
      </c>
      <c r="H49">
        <f>-G49</f>
        <v>-564.54999999999995</v>
      </c>
    </row>
    <row r="50" spans="1:9" x14ac:dyDescent="0.2">
      <c r="A50" s="18">
        <v>44742</v>
      </c>
      <c r="B50" s="23">
        <v>279085.64448000002</v>
      </c>
      <c r="C50" s="23">
        <v>279085.64448000002</v>
      </c>
      <c r="F50" s="18">
        <v>44650</v>
      </c>
      <c r="G50">
        <v>1.7075</v>
      </c>
      <c r="H50">
        <v>1.7075</v>
      </c>
    </row>
    <row r="51" spans="1:9" x14ac:dyDescent="0.2">
      <c r="A51" s="18">
        <v>44834</v>
      </c>
      <c r="B51" s="23">
        <v>0</v>
      </c>
      <c r="C51" s="23">
        <v>0</v>
      </c>
      <c r="F51" s="18">
        <v>44742</v>
      </c>
      <c r="G51">
        <v>2.0303875000000002</v>
      </c>
      <c r="H51">
        <v>2.0303875000000002</v>
      </c>
    </row>
    <row r="52" spans="1:9" x14ac:dyDescent="0.2">
      <c r="A52" s="18">
        <v>44925</v>
      </c>
      <c r="B52" s="23">
        <v>859431.35025000002</v>
      </c>
      <c r="C52" s="23">
        <v>859431.35025000002</v>
      </c>
      <c r="F52" s="18">
        <v>44834</v>
      </c>
      <c r="G52">
        <v>2.2064700000000004</v>
      </c>
      <c r="H52">
        <v>2.2064700000000004</v>
      </c>
    </row>
    <row r="53" spans="1:9" x14ac:dyDescent="0.2">
      <c r="A53" s="18">
        <v>44925</v>
      </c>
      <c r="B53">
        <v>106091315.36652</v>
      </c>
      <c r="C53">
        <v>106091315.36652</v>
      </c>
      <c r="F53" s="18">
        <v>44925</v>
      </c>
      <c r="G53">
        <v>2.4096929999999999</v>
      </c>
      <c r="H53">
        <v>2.4096929999999999</v>
      </c>
    </row>
    <row r="54" spans="1:9" x14ac:dyDescent="0.2">
      <c r="C54" s="25">
        <f>SUM(C48:C53)</f>
        <v>10838797.068475023</v>
      </c>
      <c r="D54" s="26">
        <f>XIRR(C48:C53,A48:A53,)</f>
        <v>0.15221964716911315</v>
      </c>
      <c r="F54" s="18">
        <v>44925</v>
      </c>
      <c r="G54">
        <v>517.42778999999996</v>
      </c>
      <c r="H54">
        <v>517.42778999999996</v>
      </c>
    </row>
    <row r="55" spans="1:9" x14ac:dyDescent="0.2">
      <c r="H55" s="25">
        <f>H48*SUM(H49:H54)</f>
        <v>-6646489.179507276</v>
      </c>
      <c r="I55" s="26">
        <f>XIRR(H49:H54,F49:F54,)/4</f>
        <v>-2.2677890211343765E-2</v>
      </c>
    </row>
    <row r="59" spans="1:9" x14ac:dyDescent="0.2">
      <c r="D59" s="24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5C5AF-EBDC-C24A-9801-D55417907271}">
  <sheetPr codeName="Sheet7"/>
  <dimension ref="A1:E14"/>
  <sheetViews>
    <sheetView workbookViewId="0">
      <selection activeCell="E14" sqref="E14"/>
    </sheetView>
  </sheetViews>
  <sheetFormatPr baseColWidth="10" defaultColWidth="23.33203125" defaultRowHeight="26" customHeight="1" x14ac:dyDescent="0.2"/>
  <sheetData>
    <row r="1" spans="1:5" ht="26" customHeight="1" thickBot="1" x14ac:dyDescent="0.25">
      <c r="A1" s="27" t="s">
        <v>21</v>
      </c>
      <c r="B1" s="28" t="s">
        <v>22</v>
      </c>
      <c r="C1" s="28" t="s">
        <v>26</v>
      </c>
      <c r="D1" s="28" t="s">
        <v>23</v>
      </c>
      <c r="E1" s="29" t="s">
        <v>27</v>
      </c>
    </row>
    <row r="2" spans="1:5" ht="26" customHeight="1" x14ac:dyDescent="0.2">
      <c r="A2" t="s">
        <v>6</v>
      </c>
      <c r="B2" s="32">
        <v>6.1547055489396402E-2</v>
      </c>
      <c r="C2" s="33">
        <v>6.9611067396320711E-2</v>
      </c>
      <c r="D2" s="33">
        <v>-2.5014579296112055E-4</v>
      </c>
      <c r="E2" s="33">
        <v>-0.1184774797409773</v>
      </c>
    </row>
    <row r="3" spans="1:5" ht="26" customHeight="1" x14ac:dyDescent="0.2">
      <c r="A3" t="s">
        <v>7</v>
      </c>
      <c r="B3" s="33">
        <v>0.14105576206560005</v>
      </c>
      <c r="C3" s="33">
        <v>6.2614170280221412E-2</v>
      </c>
      <c r="D3" s="33">
        <v>0.15221964716911315</v>
      </c>
      <c r="E3" s="33">
        <v>-2.2677890211343765E-2</v>
      </c>
    </row>
    <row r="11" spans="1:5" ht="26" customHeight="1" thickBot="1" x14ac:dyDescent="0.25"/>
    <row r="12" spans="1:5" ht="26" customHeight="1" thickBot="1" x14ac:dyDescent="0.25">
      <c r="A12" s="27" t="s">
        <v>21</v>
      </c>
      <c r="B12" s="30" t="s">
        <v>24</v>
      </c>
      <c r="C12" s="31" t="s">
        <v>28</v>
      </c>
      <c r="D12" s="30" t="s">
        <v>25</v>
      </c>
      <c r="E12" s="31" t="s">
        <v>29</v>
      </c>
    </row>
    <row r="13" spans="1:5" ht="26" customHeight="1" x14ac:dyDescent="0.2">
      <c r="A13" t="s">
        <v>6</v>
      </c>
      <c r="B13" s="34">
        <v>598026.80000000075</v>
      </c>
      <c r="C13" s="35">
        <v>664152.37155869859</v>
      </c>
      <c r="D13" s="34">
        <v>-2111.429999999702</v>
      </c>
      <c r="E13" s="35">
        <v>-1017568.2511872789</v>
      </c>
    </row>
    <row r="14" spans="1:5" ht="26" customHeight="1" x14ac:dyDescent="0.2">
      <c r="A14" t="s">
        <v>7</v>
      </c>
      <c r="B14" s="23">
        <v>11311754.888495013</v>
      </c>
      <c r="C14" s="35">
        <v>5470001.4034514334</v>
      </c>
      <c r="D14" s="34">
        <v>10838797.068475023</v>
      </c>
      <c r="E14" s="35">
        <v>-6646489.179507276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 Entry</vt:lpstr>
      <vt:lpstr>Canadian Stocks</vt:lpstr>
      <vt:lpstr>US Stocks</vt:lpstr>
      <vt:lpstr>Canadian Stocks Benchmark</vt:lpstr>
      <vt:lpstr>US Stocks Benchmark</vt:lpstr>
      <vt:lpstr>Summary</vt:lpstr>
      <vt:lpstr>Table to Display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Dunne</dc:creator>
  <cp:lastModifiedBy>Yumeng Wang</cp:lastModifiedBy>
  <dcterms:created xsi:type="dcterms:W3CDTF">2023-09-15T12:42:45Z</dcterms:created>
  <dcterms:modified xsi:type="dcterms:W3CDTF">2023-10-10T07:57:36Z</dcterms:modified>
</cp:coreProperties>
</file>